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ORNITORI\MiR\LISTINI 2025\"/>
    </mc:Choice>
  </mc:AlternateContent>
  <xr:revisionPtr revIDLastSave="0" documentId="13_ncr:1_{1F4EDB3F-5FE9-47C1-AF27-CE8CBBC07318}" xr6:coauthVersionLast="47" xr6:coauthVersionMax="47" xr10:uidLastSave="{00000000-0000-0000-0000-000000000000}"/>
  <bookViews>
    <workbookView xWindow="29115" yWindow="480" windowWidth="28485" windowHeight="1492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D80" i="1"/>
  <c r="D79" i="1"/>
  <c r="D78" i="1"/>
  <c r="D76" i="1"/>
  <c r="D75" i="1"/>
  <c r="D74" i="1"/>
  <c r="D73" i="1"/>
  <c r="D71" i="1"/>
  <c r="D70" i="1"/>
  <c r="D69" i="1"/>
  <c r="D68" i="1"/>
  <c r="D66" i="1"/>
  <c r="D65" i="1"/>
  <c r="D64" i="1"/>
  <c r="D63" i="1"/>
  <c r="D62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3" i="1"/>
  <c r="D42" i="1"/>
  <c r="D41" i="1"/>
  <c r="D40" i="1"/>
  <c r="D39" i="1"/>
  <c r="D38" i="1"/>
  <c r="D37" i="1"/>
  <c r="D36" i="1"/>
  <c r="D35" i="1"/>
  <c r="D34" i="1"/>
  <c r="D33" i="1"/>
  <c r="D32" i="1"/>
  <c r="D29" i="1"/>
  <c r="D28" i="1"/>
  <c r="D27" i="1"/>
  <c r="D26" i="1"/>
  <c r="D25" i="1"/>
  <c r="D24" i="1"/>
  <c r="D23" i="1"/>
  <c r="D22" i="1"/>
  <c r="D21" i="1"/>
  <c r="D20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<sst xmlns="http://schemas.openxmlformats.org/spreadsheetml/2006/main" count="92" uniqueCount="65">
  <si>
    <r>
      <rPr>
        <b/>
        <sz val="8"/>
        <color rgb="FF548ED4"/>
        <rFont val="Calibri"/>
        <family val="1"/>
      </rPr>
      <t>MiR Recommended Spare parts Package price list</t>
    </r>
  </si>
  <si>
    <r>
      <rPr>
        <sz val="5.5"/>
        <rFont val="Calibri"/>
        <family val="1"/>
      </rPr>
      <t>All prices are valid from 1. February 2025 until 31. December 2025</t>
    </r>
  </si>
  <si>
    <r>
      <rPr>
        <b/>
        <sz val="6"/>
        <color rgb="FF548ED4"/>
        <rFont val="Calibri"/>
        <family val="1"/>
      </rPr>
      <t>Part No.</t>
    </r>
  </si>
  <si>
    <r>
      <rPr>
        <b/>
        <sz val="6"/>
        <color rgb="FF548ED4"/>
        <rFont val="Calibri"/>
        <family val="1"/>
      </rPr>
      <t>Products</t>
    </r>
  </si>
  <si>
    <r>
      <rPr>
        <b/>
        <sz val="5.5"/>
        <rFont val="Calibri"/>
        <family val="1"/>
      </rPr>
      <t>Recommended Spare part Package, MiR100/200</t>
    </r>
  </si>
  <si>
    <r>
      <rPr>
        <b/>
        <sz val="5.5"/>
        <rFont val="Calibri"/>
        <family val="1"/>
      </rPr>
      <t>Recommended Spare part Package, MiR100/200 discount 5%</t>
    </r>
  </si>
  <si>
    <r>
      <rPr>
        <sz val="5.5"/>
        <rFont val="Calibri"/>
        <family val="1"/>
      </rPr>
      <t>3D Camera, D435 module</t>
    </r>
  </si>
  <si>
    <r>
      <rPr>
        <sz val="5.5"/>
        <rFont val="Calibri"/>
        <family val="1"/>
      </rPr>
      <t>Costum pre-charge circuit</t>
    </r>
  </si>
  <si>
    <r>
      <rPr>
        <sz val="5.5"/>
        <rFont val="Calibri"/>
        <family val="1"/>
      </rPr>
      <t>Cover Glass for Safety Scanner, S300</t>
    </r>
  </si>
  <si>
    <r>
      <rPr>
        <sz val="5.5"/>
        <rFont val="Calibri"/>
        <family val="1"/>
      </rPr>
      <t>MiR Board with relay control and Teensy</t>
    </r>
  </si>
  <si>
    <r>
      <rPr>
        <sz val="5.5"/>
        <rFont val="Calibri"/>
        <family val="1"/>
      </rPr>
      <t>Loudspeaker Kit</t>
    </r>
  </si>
  <si>
    <r>
      <rPr>
        <sz val="5.5"/>
        <rFont val="Calibri"/>
        <family val="1"/>
      </rPr>
      <t>Emergency Stop, Power</t>
    </r>
  </si>
  <si>
    <r>
      <rPr>
        <sz val="5.5"/>
        <rFont val="Calibri"/>
        <family val="1"/>
      </rPr>
      <t>Safety Scanner, S300</t>
    </r>
  </si>
  <si>
    <r>
      <rPr>
        <sz val="5.5"/>
        <rFont val="Calibri"/>
        <family val="1"/>
      </rPr>
      <t>Motor Controller for Brushed Motors</t>
    </r>
  </si>
  <si>
    <r>
      <rPr>
        <b/>
        <sz val="5.5"/>
        <rFont val="Calibri"/>
        <family val="1"/>
      </rPr>
      <t>Recommended Spare part Package, MiR250</t>
    </r>
  </si>
  <si>
    <r>
      <rPr>
        <b/>
        <sz val="5.5"/>
        <rFont val="Calibri"/>
        <family val="1"/>
      </rPr>
      <t>Recommended Spare part Package, MiR250 discount 5%</t>
    </r>
  </si>
  <si>
    <r>
      <rPr>
        <sz val="5.5"/>
        <rFont val="Calibri"/>
        <family val="1"/>
      </rPr>
      <t>Nanoscan front/rear MiR250</t>
    </r>
  </si>
  <si>
    <r>
      <rPr>
        <sz val="5.5"/>
        <rFont val="Calibri"/>
        <family val="1"/>
      </rPr>
      <t>Antenna 2.4/5.0 GHz Dipole MiR250</t>
    </r>
  </si>
  <si>
    <r>
      <rPr>
        <sz val="5.5"/>
        <rFont val="Calibri"/>
        <family val="1"/>
      </rPr>
      <t>Processing Unit</t>
    </r>
  </si>
  <si>
    <r>
      <rPr>
        <sz val="5.5"/>
        <rFont val="Calibri"/>
        <family val="1"/>
      </rPr>
      <t>Proximity board</t>
    </r>
  </si>
  <si>
    <r>
      <rPr>
        <sz val="5.5"/>
        <rFont val="Calibri"/>
        <family val="1"/>
      </rPr>
      <t>Antenna cables MiR250</t>
    </r>
  </si>
  <si>
    <r>
      <rPr>
        <sz val="5.5"/>
        <rFont val="Calibri"/>
        <family val="1"/>
      </rPr>
      <t>Power Board MiR250</t>
    </r>
  </si>
  <si>
    <r>
      <rPr>
        <sz val="5.5"/>
        <rFont val="Calibri"/>
        <family val="1"/>
      </rPr>
      <t>Camera MiR250</t>
    </r>
  </si>
  <si>
    <r>
      <rPr>
        <sz val="5.5"/>
        <rFont val="Calibri"/>
        <family val="1"/>
      </rPr>
      <t>Turn button brake release, MiR250</t>
    </r>
  </si>
  <si>
    <r>
      <rPr>
        <b/>
        <sz val="5.5"/>
        <rFont val="Calibri"/>
        <family val="1"/>
      </rPr>
      <t>Recommended Spare part Package, MiR500/1000</t>
    </r>
  </si>
  <si>
    <r>
      <rPr>
        <b/>
        <sz val="5.5"/>
        <rFont val="Calibri"/>
        <family val="1"/>
      </rPr>
      <t>Recommended Spare part Package, MiR500/1000 discount 5%</t>
    </r>
  </si>
  <si>
    <r>
      <rPr>
        <sz val="5.5"/>
        <rFont val="Calibri"/>
        <family val="1"/>
      </rPr>
      <t>ESD tail and bracket, MiR200/500/600/1350</t>
    </r>
  </si>
  <si>
    <r>
      <rPr>
        <sz val="5.5"/>
        <rFont val="Calibri"/>
        <family val="1"/>
      </rPr>
      <t>Complete Signal Light Board</t>
    </r>
  </si>
  <si>
    <r>
      <rPr>
        <sz val="5.5"/>
        <rFont val="Calibri"/>
        <family val="1"/>
      </rPr>
      <t>Ultrasound Proximity Board</t>
    </r>
  </si>
  <si>
    <r>
      <rPr>
        <sz val="5.5"/>
        <rFont val="Calibri"/>
        <family val="1"/>
      </rPr>
      <t>Signal connector, two middle charging panels</t>
    </r>
  </si>
  <si>
    <r>
      <rPr>
        <sz val="5.5"/>
        <rFont val="Calibri"/>
        <family val="1"/>
      </rPr>
      <t>SICK Scanner MicroScan 3 EFI-Pro</t>
    </r>
  </si>
  <si>
    <r>
      <rPr>
        <sz val="5.5"/>
        <rFont val="Calibri"/>
        <family val="1"/>
      </rPr>
      <t>Power Board</t>
    </r>
  </si>
  <si>
    <r>
      <rPr>
        <sz val="5.5"/>
        <rFont val="Calibri"/>
        <family val="1"/>
      </rPr>
      <t>Charging connector, left and rightmost charging panel</t>
    </r>
  </si>
  <si>
    <r>
      <rPr>
        <b/>
        <sz val="5.5"/>
        <rFont val="Calibri"/>
        <family val="1"/>
      </rPr>
      <t>Recommended Spare part Package, MiR600/1350</t>
    </r>
  </si>
  <si>
    <r>
      <rPr>
        <b/>
        <sz val="5.5"/>
        <rFont val="Calibri"/>
        <family val="1"/>
      </rPr>
      <t>Recommended Spare part Package, MiR600/1350 discount 5%</t>
    </r>
  </si>
  <si>
    <r>
      <rPr>
        <sz val="5.5"/>
        <rFont val="Calibri"/>
        <family val="1"/>
      </rPr>
      <t>Thermal switch kit, MiR600/1350</t>
    </r>
  </si>
  <si>
    <r>
      <rPr>
        <sz val="5.5"/>
        <rFont val="Calibri"/>
        <family val="1"/>
      </rPr>
      <t>Antenna MiR600/1350</t>
    </r>
  </si>
  <si>
    <r>
      <rPr>
        <sz val="5.5"/>
        <rFont val="Calibri"/>
        <family val="1"/>
      </rPr>
      <t>Proximity module, MiR600/1350</t>
    </r>
  </si>
  <si>
    <r>
      <rPr>
        <sz val="5.5"/>
        <rFont val="Calibri"/>
        <family val="1"/>
      </rPr>
      <t>Ethernet connector, MiR600/1350</t>
    </r>
  </si>
  <si>
    <r>
      <rPr>
        <sz val="5.5"/>
        <rFont val="Calibri"/>
        <family val="1"/>
      </rPr>
      <t>Charging Module, MiR600/1350</t>
    </r>
  </si>
  <si>
    <r>
      <rPr>
        <sz val="5.5"/>
        <rFont val="Calibri"/>
        <family val="1"/>
      </rPr>
      <t>E-Stop buttons, MiR600/1350</t>
    </r>
  </si>
  <si>
    <r>
      <rPr>
        <sz val="5.5"/>
        <rFont val="Calibri"/>
        <family val="1"/>
      </rPr>
      <t>Powerboard, MiR600/1350</t>
    </r>
  </si>
  <si>
    <r>
      <rPr>
        <b/>
        <sz val="6"/>
        <color rgb="FF548ED4"/>
        <rFont val="Calibri"/>
        <family val="1"/>
      </rPr>
      <t>Products of Wear/Tear parts</t>
    </r>
  </si>
  <si>
    <r>
      <rPr>
        <sz val="5.5"/>
        <rFont val="Calibri"/>
        <family val="1"/>
      </rPr>
      <t>Caster Wheels, 4 pcs, MiR100/200</t>
    </r>
  </si>
  <si>
    <r>
      <rPr>
        <sz val="5.5"/>
        <rFont val="Calibri"/>
        <family val="1"/>
      </rPr>
      <t>Caster Wheels ESD, 4 pcs, MiR200</t>
    </r>
  </si>
  <si>
    <r>
      <rPr>
        <sz val="5.5"/>
        <rFont val="Calibri"/>
        <family val="1"/>
      </rPr>
      <t>Caster Wheels, 4 pcs, MiR250</t>
    </r>
  </si>
  <si>
    <r>
      <rPr>
        <sz val="5.5"/>
        <rFont val="Calibri"/>
        <family val="1"/>
      </rPr>
      <t>Caster Wheels, 4 pcs, MiR500/600</t>
    </r>
  </si>
  <si>
    <r>
      <rPr>
        <sz val="5.5"/>
        <rFont val="Calibri"/>
        <family val="1"/>
      </rPr>
      <t>Caster Wheels, 4 pcs, MiE1000/1350</t>
    </r>
  </si>
  <si>
    <r>
      <rPr>
        <sz val="5.5"/>
        <rFont val="Calibri"/>
        <family val="1"/>
      </rPr>
      <t>Drive Wheels Original, 2 pcs, MiR100/200</t>
    </r>
  </si>
  <si>
    <r>
      <rPr>
        <sz val="5.5"/>
        <rFont val="Calibri"/>
        <family val="1"/>
      </rPr>
      <t>Drive Wheels, 2 pcs, MiR250</t>
    </r>
  </si>
  <si>
    <r>
      <rPr>
        <sz val="5.5"/>
        <rFont val="Calibri"/>
        <family val="1"/>
      </rPr>
      <t>Drive Wheels, 2 pcs, MiR500/1000</t>
    </r>
  </si>
  <si>
    <r>
      <rPr>
        <sz val="5.5"/>
        <rFont val="Calibri"/>
        <family val="1"/>
      </rPr>
      <t>Drive Wheels, 2 pcs, MiR600/1350</t>
    </r>
  </si>
  <si>
    <r>
      <rPr>
        <sz val="5.5"/>
        <rFont val="Calibri"/>
        <family val="1"/>
      </rPr>
      <t>Drivewheels and Casterwheels, MiR250</t>
    </r>
  </si>
  <si>
    <r>
      <rPr>
        <sz val="5.5"/>
        <rFont val="Calibri"/>
        <family val="1"/>
      </rPr>
      <t>Drivewheels and Casterwheels, MiR100/200</t>
    </r>
  </si>
  <si>
    <r>
      <rPr>
        <sz val="5.5"/>
        <rFont val="Calibri"/>
        <family val="1"/>
      </rPr>
      <t>Drivewheels and Casterwheels, MiR500/MiR600</t>
    </r>
  </si>
  <si>
    <r>
      <rPr>
        <sz val="5.5"/>
        <rFont val="Calibri"/>
        <family val="1"/>
      </rPr>
      <t>Drivewheels and Casterwheels, MiR1000/MiR1350</t>
    </r>
  </si>
  <si>
    <r>
      <rPr>
        <sz val="5.5"/>
        <rFont val="Calibri"/>
        <family val="1"/>
      </rPr>
      <t>Battery, MiR250/600/1350</t>
    </r>
  </si>
  <si>
    <r>
      <rPr>
        <sz val="5.5"/>
        <rFont val="Calibri"/>
        <family val="1"/>
      </rPr>
      <t>24V Standard capacity battery MiR100/200 (28)</t>
    </r>
  </si>
  <si>
    <r>
      <rPr>
        <sz val="5.5"/>
        <rFont val="Calibri"/>
        <family val="1"/>
      </rPr>
      <t>24V Extended capacity battery MiR100</t>
    </r>
  </si>
  <si>
    <r>
      <rPr>
        <sz val="5.5"/>
        <rFont val="Calibri"/>
        <family val="1"/>
      </rPr>
      <t>Battery, MiR500/1000</t>
    </r>
  </si>
  <si>
    <t>CONFIDENTIAL DOCUMENT – DO NOT DISTRIBUTE</t>
  </si>
  <si>
    <t>Integrator Price</t>
  </si>
  <si>
    <t>Distributor EUR</t>
  </si>
  <si>
    <t>End User Price</t>
  </si>
  <si>
    <r>
      <t xml:space="preserve">All prices are net prices and ex works. </t>
    </r>
    <r>
      <rPr>
        <sz val="5.5"/>
        <color rgb="FFFF0000"/>
        <rFont val="Calibri"/>
        <family val="2"/>
      </rPr>
      <t>All prices are excluding shipping costs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</si>
</sst>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sz val="5.5"/>
      <name val="Calibri"/>
      <family val="2"/>
    </font>
    <font>
      <b/>
      <sz val="6"/>
      <name val="Calibri"/>
      <family val="2"/>
    </font>
    <font>
      <b/>
      <sz val="5.5"/>
      <color rgb="FF000000"/>
      <name val="Calibri"/>
      <family val="2"/>
    </font>
    <font>
      <b/>
      <sz val="5.5"/>
      <name val="Calibri"/>
      <family val="2"/>
    </font>
    <font>
      <sz val="5.5"/>
      <color rgb="FF000000"/>
      <name val="Calibri"/>
      <family val="2"/>
    </font>
    <font>
      <b/>
      <sz val="8"/>
      <color rgb="FF548ED4"/>
      <name val="Calibri"/>
      <family val="1"/>
    </font>
    <font>
      <sz val="5.5"/>
      <name val="Calibri"/>
      <family val="1"/>
    </font>
    <font>
      <b/>
      <sz val="6"/>
      <color rgb="FF548ED4"/>
      <name val="Calibri"/>
      <family val="1"/>
    </font>
    <font>
      <b/>
      <sz val="5.5"/>
      <name val="Calibri"/>
      <family val="1"/>
    </font>
    <font>
      <b/>
      <sz val="8"/>
      <color rgb="FFFF0000"/>
      <name val="Calibri"/>
      <family val="2"/>
    </font>
    <font>
      <b/>
      <sz val="6"/>
      <name val="Calibri"/>
      <family val="2"/>
    </font>
    <font>
      <sz val="5.5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0F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left" vertical="top" shrinkToFit="1"/>
    </xf>
    <xf numFmtId="0" fontId="5" fillId="2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5" fillId="0" borderId="3" xfId="0" applyFont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shrinkToFit="1"/>
    </xf>
    <xf numFmtId="0" fontId="2" fillId="2" borderId="3" xfId="0" applyFont="1" applyFill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left" vertical="top" shrinkToFit="1"/>
    </xf>
    <xf numFmtId="0" fontId="2" fillId="0" borderId="3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1" fontId="4" fillId="2" borderId="3" xfId="0" applyNumberFormat="1" applyFont="1" applyFill="1" applyBorder="1" applyAlignment="1">
      <alignment horizontal="left" vertical="top" shrinkToFit="1"/>
    </xf>
    <xf numFmtId="0" fontId="5" fillId="2" borderId="3" xfId="0" applyFont="1" applyFill="1" applyBorder="1" applyAlignment="1">
      <alignment horizontal="left" vertical="top" wrapText="1"/>
    </xf>
    <xf numFmtId="1" fontId="6" fillId="2" borderId="2" xfId="0" applyNumberFormat="1" applyFont="1" applyFill="1" applyBorder="1" applyAlignment="1">
      <alignment horizontal="left" vertical="top" shrinkToFit="1"/>
    </xf>
    <xf numFmtId="0" fontId="2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0" fontId="11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right" vertical="top" shrinkToFit="1"/>
    </xf>
    <xf numFmtId="3" fontId="4" fillId="0" borderId="3" xfId="0" applyNumberFormat="1" applyFont="1" applyBorder="1" applyAlignment="1">
      <alignment horizontal="right" vertical="top" shrinkToFit="1"/>
    </xf>
    <xf numFmtId="3" fontId="6" fillId="2" borderId="3" xfId="0" applyNumberFormat="1" applyFont="1" applyFill="1" applyBorder="1" applyAlignment="1">
      <alignment horizontal="right" vertical="top" shrinkToFit="1"/>
    </xf>
    <xf numFmtId="3" fontId="6" fillId="0" borderId="3" xfId="0" applyNumberFormat="1" applyFont="1" applyBorder="1" applyAlignment="1">
      <alignment horizontal="right" vertical="top" shrinkToFit="1"/>
    </xf>
    <xf numFmtId="3" fontId="6" fillId="0" borderId="4" xfId="0" applyNumberFormat="1" applyFont="1" applyBorder="1" applyAlignment="1">
      <alignment horizontal="right" vertical="top" shrinkToFit="1"/>
    </xf>
    <xf numFmtId="3" fontId="6" fillId="2" borderId="2" xfId="0" applyNumberFormat="1" applyFont="1" applyFill="1" applyBorder="1" applyAlignment="1">
      <alignment horizontal="right" vertical="top" shrinkToFit="1"/>
    </xf>
    <xf numFmtId="3" fontId="0" fillId="0" borderId="3" xfId="0" applyNumberFormat="1" applyBorder="1" applyAlignment="1">
      <alignment horizontal="left" wrapText="1"/>
    </xf>
    <xf numFmtId="3" fontId="0" fillId="2" borderId="3" xfId="0" applyNumberFormat="1" applyFill="1" applyBorder="1" applyAlignment="1">
      <alignment horizontal="left" wrapText="1"/>
    </xf>
    <xf numFmtId="0" fontId="12" fillId="0" borderId="1" xfId="0" applyFont="1" applyBorder="1" applyAlignment="1">
      <alignment horizontal="right" vertical="top" wrapText="1"/>
    </xf>
    <xf numFmtId="0" fontId="12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438389</xdr:colOff>
      <xdr:row>0</xdr:row>
      <xdr:rowOff>77391</xdr:rowOff>
    </xdr:from>
    <xdr:ext cx="930830" cy="405915"/>
    <xdr:pic>
      <xdr:nvPicPr>
        <xdr:cNvPr id="3" name="image1.png">
          <a:extLst>
            <a:ext uri="{FF2B5EF4-FFF2-40B4-BE49-F238E27FC236}">
              <a16:creationId xmlns:a16="http://schemas.microsoft.com/office/drawing/2014/main" id="{2AC245ED-ABE3-483D-A6D9-0862BD88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9233" y="77391"/>
          <a:ext cx="930830" cy="405915"/>
        </a:xfrm>
        <a:prstGeom prst="rect">
          <a:avLst/>
        </a:prstGeom>
      </xdr:spPr>
    </xdr:pic>
    <xdr:clientData/>
  </xdr:oneCellAnchor>
  <xdr:twoCellAnchor editAs="oneCell">
    <xdr:from>
      <xdr:col>1</xdr:col>
      <xdr:colOff>1165146</xdr:colOff>
      <xdr:row>0</xdr:row>
      <xdr:rowOff>0</xdr:rowOff>
    </xdr:from>
    <xdr:to>
      <xdr:col>1</xdr:col>
      <xdr:colOff>2377440</xdr:colOff>
      <xdr:row>1</xdr:row>
      <xdr:rowOff>136752</xdr:rowOff>
    </xdr:to>
    <xdr:pic>
      <xdr:nvPicPr>
        <xdr:cNvPr id="4" name="Immagine 3" descr="Immagine che contiene Carattere, testo, Elementi grafici, grafica&#10;&#10;Il contenuto generato dall'IA potrebbe non essere corretto.">
          <a:extLst>
            <a:ext uri="{FF2B5EF4-FFF2-40B4-BE49-F238E27FC236}">
              <a16:creationId xmlns:a16="http://schemas.microsoft.com/office/drawing/2014/main" id="{43506F0F-40F9-435F-8DD2-3F5B71C97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41" b="15224"/>
        <a:stretch/>
      </xdr:blipFill>
      <xdr:spPr>
        <a:xfrm>
          <a:off x="1641396" y="0"/>
          <a:ext cx="1208484" cy="64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zoomScale="160" zoomScaleNormal="160" workbookViewId="0">
      <selection activeCell="A6" sqref="A6"/>
    </sheetView>
  </sheetViews>
  <sheetFormatPr defaultRowHeight="13.2" x14ac:dyDescent="0.25"/>
  <cols>
    <col min="1" max="1" width="6.33203125" customWidth="1"/>
    <col min="2" max="2" width="36" customWidth="1"/>
    <col min="3" max="3" width="11.5546875" hidden="1" customWidth="1"/>
    <col min="4" max="4" width="11.5546875" customWidth="1"/>
    <col min="5" max="5" width="12.6640625" customWidth="1"/>
    <col min="6" max="6" width="46.6640625" customWidth="1"/>
  </cols>
  <sheetData>
    <row r="1" spans="1:6" ht="40.799999999999997" customHeight="1" x14ac:dyDescent="0.25">
      <c r="A1" s="35"/>
      <c r="B1" s="35"/>
      <c r="C1" s="35"/>
      <c r="D1" s="35"/>
      <c r="E1" s="35"/>
      <c r="F1" s="35"/>
    </row>
    <row r="2" spans="1:6" ht="12" customHeight="1" x14ac:dyDescent="0.25">
      <c r="A2" s="36" t="s">
        <v>0</v>
      </c>
      <c r="B2" s="36"/>
      <c r="C2" s="36"/>
      <c r="D2" s="36"/>
      <c r="E2" s="36"/>
      <c r="F2" s="36"/>
    </row>
    <row r="3" spans="1:6" ht="8.25" customHeight="1" x14ac:dyDescent="0.25">
      <c r="A3" s="33" t="s">
        <v>64</v>
      </c>
      <c r="B3" s="34"/>
      <c r="C3" s="34"/>
      <c r="D3" s="34"/>
      <c r="E3" s="34"/>
      <c r="F3" s="34"/>
    </row>
    <row r="4" spans="1:6" ht="8.25" customHeight="1" x14ac:dyDescent="0.25">
      <c r="A4" s="34" t="s">
        <v>1</v>
      </c>
      <c r="B4" s="34"/>
      <c r="C4" s="34"/>
      <c r="D4" s="34"/>
      <c r="E4" s="34"/>
      <c r="F4" s="34"/>
    </row>
    <row r="5" spans="1:6" ht="18.600000000000001" customHeight="1" x14ac:dyDescent="0.25">
      <c r="A5" s="20" t="s">
        <v>60</v>
      </c>
      <c r="B5" s="1"/>
      <c r="C5" s="1"/>
      <c r="D5" s="1"/>
      <c r="E5" s="1"/>
      <c r="F5" s="1"/>
    </row>
    <row r="6" spans="1:6" ht="7.8" customHeight="1" x14ac:dyDescent="0.25">
      <c r="A6" s="2" t="s">
        <v>2</v>
      </c>
      <c r="B6" s="2" t="s">
        <v>3</v>
      </c>
      <c r="C6" s="21" t="s">
        <v>62</v>
      </c>
      <c r="D6" s="30" t="s">
        <v>61</v>
      </c>
      <c r="E6" s="30" t="s">
        <v>63</v>
      </c>
      <c r="F6" s="1"/>
    </row>
    <row r="7" spans="1:6" ht="8.25" customHeight="1" x14ac:dyDescent="0.25">
      <c r="A7" s="3">
        <v>450476</v>
      </c>
      <c r="B7" s="4" t="s">
        <v>4</v>
      </c>
      <c r="C7" s="22">
        <v>6600</v>
      </c>
      <c r="D7" s="22">
        <f>((E7-C7)/2)+C7</f>
        <v>7830</v>
      </c>
      <c r="E7" s="22">
        <v>9060</v>
      </c>
      <c r="F7" s="1"/>
    </row>
    <row r="8" spans="1:6" ht="8.25" customHeight="1" x14ac:dyDescent="0.25">
      <c r="A8" s="5"/>
      <c r="B8" s="6" t="s">
        <v>5</v>
      </c>
      <c r="C8" s="23">
        <v>6270</v>
      </c>
      <c r="D8" s="23">
        <f t="shared" ref="D8:D16" si="0">((E8-C8)/2)+C8</f>
        <v>7438.5</v>
      </c>
      <c r="E8" s="23">
        <v>8607</v>
      </c>
      <c r="F8" s="1"/>
    </row>
    <row r="9" spans="1:6" ht="8.25" customHeight="1" x14ac:dyDescent="0.25">
      <c r="A9" s="7">
        <v>450126</v>
      </c>
      <c r="B9" s="8" t="s">
        <v>6</v>
      </c>
      <c r="C9" s="24">
        <v>545</v>
      </c>
      <c r="D9" s="24">
        <f t="shared" si="0"/>
        <v>650</v>
      </c>
      <c r="E9" s="24">
        <v>755</v>
      </c>
      <c r="F9" s="1"/>
    </row>
    <row r="10" spans="1:6" ht="8.25" customHeight="1" x14ac:dyDescent="0.25">
      <c r="A10" s="9">
        <v>450635</v>
      </c>
      <c r="B10" s="10" t="s">
        <v>7</v>
      </c>
      <c r="C10" s="25">
        <v>115</v>
      </c>
      <c r="D10" s="25">
        <f t="shared" si="0"/>
        <v>132.5</v>
      </c>
      <c r="E10" s="25">
        <v>150</v>
      </c>
      <c r="F10" s="1"/>
    </row>
    <row r="11" spans="1:6" ht="8.25" customHeight="1" x14ac:dyDescent="0.25">
      <c r="A11" s="7">
        <v>450062</v>
      </c>
      <c r="B11" s="8" t="s">
        <v>8</v>
      </c>
      <c r="C11" s="24">
        <v>325</v>
      </c>
      <c r="D11" s="24">
        <f t="shared" si="0"/>
        <v>385</v>
      </c>
      <c r="E11" s="24">
        <v>445</v>
      </c>
      <c r="F11" s="1"/>
    </row>
    <row r="12" spans="1:6" ht="8.25" customHeight="1" x14ac:dyDescent="0.25">
      <c r="A12" s="9">
        <v>450259</v>
      </c>
      <c r="B12" s="10" t="s">
        <v>9</v>
      </c>
      <c r="C12" s="25">
        <v>325</v>
      </c>
      <c r="D12" s="25">
        <f t="shared" si="0"/>
        <v>385</v>
      </c>
      <c r="E12" s="25">
        <v>445</v>
      </c>
      <c r="F12" s="1"/>
    </row>
    <row r="13" spans="1:6" ht="8.25" customHeight="1" x14ac:dyDescent="0.25">
      <c r="A13" s="7">
        <v>450014</v>
      </c>
      <c r="B13" s="8" t="s">
        <v>10</v>
      </c>
      <c r="C13" s="24">
        <v>285</v>
      </c>
      <c r="D13" s="24">
        <f t="shared" si="0"/>
        <v>337.5</v>
      </c>
      <c r="E13" s="24">
        <v>390</v>
      </c>
      <c r="F13" s="1"/>
    </row>
    <row r="14" spans="1:6" ht="8.25" customHeight="1" x14ac:dyDescent="0.25">
      <c r="A14" s="9">
        <v>450065</v>
      </c>
      <c r="B14" s="10" t="s">
        <v>11</v>
      </c>
      <c r="C14" s="25">
        <v>525</v>
      </c>
      <c r="D14" s="25">
        <f t="shared" si="0"/>
        <v>622.5</v>
      </c>
      <c r="E14" s="25">
        <v>720</v>
      </c>
      <c r="F14" s="1"/>
    </row>
    <row r="15" spans="1:6" ht="8.25" customHeight="1" x14ac:dyDescent="0.25">
      <c r="A15" s="7">
        <v>450060</v>
      </c>
      <c r="B15" s="8" t="s">
        <v>12</v>
      </c>
      <c r="C15" s="24">
        <v>3490</v>
      </c>
      <c r="D15" s="24">
        <f t="shared" si="0"/>
        <v>4142.5</v>
      </c>
      <c r="E15" s="24">
        <v>4795</v>
      </c>
      <c r="F15" s="1"/>
    </row>
    <row r="16" spans="1:6" ht="8.25" customHeight="1" x14ac:dyDescent="0.25">
      <c r="A16" s="11">
        <v>450001</v>
      </c>
      <c r="B16" s="12" t="s">
        <v>13</v>
      </c>
      <c r="C16" s="26">
        <v>990</v>
      </c>
      <c r="D16" s="26">
        <f t="shared" si="0"/>
        <v>1175</v>
      </c>
      <c r="E16" s="26">
        <v>1360</v>
      </c>
      <c r="F16" s="1"/>
    </row>
    <row r="17" spans="1:6" ht="8.5500000000000007" customHeight="1" x14ac:dyDescent="0.25">
      <c r="A17" s="1"/>
      <c r="B17" s="1"/>
      <c r="C17" s="1"/>
      <c r="D17" s="1"/>
      <c r="E17" s="1"/>
      <c r="F17" s="1"/>
    </row>
    <row r="18" spans="1:6" ht="8.25" customHeight="1" x14ac:dyDescent="0.25">
      <c r="A18" s="37"/>
      <c r="B18" s="38"/>
      <c r="C18" s="38"/>
      <c r="D18" s="38"/>
      <c r="E18" s="38"/>
      <c r="F18" s="1"/>
    </row>
    <row r="19" spans="1:6" ht="8.25" customHeight="1" x14ac:dyDescent="0.25">
      <c r="A19" s="2" t="s">
        <v>2</v>
      </c>
      <c r="B19" s="2" t="s">
        <v>3</v>
      </c>
      <c r="C19" s="21" t="s">
        <v>62</v>
      </c>
      <c r="D19" s="30" t="s">
        <v>61</v>
      </c>
      <c r="E19" s="30" t="s">
        <v>63</v>
      </c>
      <c r="F19" s="1"/>
    </row>
    <row r="20" spans="1:6" ht="8.25" customHeight="1" x14ac:dyDescent="0.25">
      <c r="A20" s="3">
        <v>450477</v>
      </c>
      <c r="B20" s="4" t="s">
        <v>14</v>
      </c>
      <c r="C20" s="22">
        <v>9655</v>
      </c>
      <c r="D20" s="22">
        <f t="shared" ref="D20:D29" si="1">((E20-C20)/2)+C20</f>
        <v>11445</v>
      </c>
      <c r="E20" s="22">
        <v>13235</v>
      </c>
      <c r="F20" s="1"/>
    </row>
    <row r="21" spans="1:6" ht="8.25" customHeight="1" x14ac:dyDescent="0.25">
      <c r="A21" s="5"/>
      <c r="B21" s="6" t="s">
        <v>15</v>
      </c>
      <c r="C21" s="23">
        <v>9173</v>
      </c>
      <c r="D21" s="23">
        <f t="shared" si="1"/>
        <v>10873.5</v>
      </c>
      <c r="E21" s="23">
        <v>12574</v>
      </c>
      <c r="F21" s="1"/>
    </row>
    <row r="22" spans="1:6" ht="8.25" customHeight="1" x14ac:dyDescent="0.25">
      <c r="A22" s="7">
        <v>450324</v>
      </c>
      <c r="B22" s="8" t="s">
        <v>16</v>
      </c>
      <c r="C22" s="24">
        <v>3265</v>
      </c>
      <c r="D22" s="24">
        <f t="shared" si="1"/>
        <v>3872.5</v>
      </c>
      <c r="E22" s="24">
        <v>4480</v>
      </c>
      <c r="F22" s="1"/>
    </row>
    <row r="23" spans="1:6" ht="8.25" customHeight="1" x14ac:dyDescent="0.25">
      <c r="A23" s="9">
        <v>450490</v>
      </c>
      <c r="B23" s="10" t="s">
        <v>17</v>
      </c>
      <c r="C23" s="25">
        <v>15</v>
      </c>
      <c r="D23" s="25">
        <f t="shared" si="1"/>
        <v>20</v>
      </c>
      <c r="E23" s="25">
        <v>25</v>
      </c>
      <c r="F23" s="1"/>
    </row>
    <row r="24" spans="1:6" ht="8.25" customHeight="1" x14ac:dyDescent="0.25">
      <c r="A24" s="7">
        <v>450295</v>
      </c>
      <c r="B24" s="8" t="s">
        <v>18</v>
      </c>
      <c r="C24" s="24">
        <v>3085</v>
      </c>
      <c r="D24" s="24">
        <f t="shared" si="1"/>
        <v>3657.5</v>
      </c>
      <c r="E24" s="24">
        <v>4230</v>
      </c>
      <c r="F24" s="1"/>
    </row>
    <row r="25" spans="1:6" ht="8.25" customHeight="1" x14ac:dyDescent="0.25">
      <c r="A25" s="9">
        <v>450614</v>
      </c>
      <c r="B25" s="10" t="s">
        <v>19</v>
      </c>
      <c r="C25" s="25">
        <v>270</v>
      </c>
      <c r="D25" s="25">
        <f t="shared" si="1"/>
        <v>320</v>
      </c>
      <c r="E25" s="25">
        <v>370</v>
      </c>
      <c r="F25" s="1"/>
    </row>
    <row r="26" spans="1:6" ht="8.25" customHeight="1" x14ac:dyDescent="0.25">
      <c r="A26" s="7">
        <v>450527</v>
      </c>
      <c r="B26" s="8" t="s">
        <v>20</v>
      </c>
      <c r="C26" s="24">
        <v>110</v>
      </c>
      <c r="D26" s="24">
        <f t="shared" si="1"/>
        <v>127.5</v>
      </c>
      <c r="E26" s="24">
        <v>145</v>
      </c>
      <c r="F26" s="1"/>
    </row>
    <row r="27" spans="1:6" ht="8.25" customHeight="1" x14ac:dyDescent="0.25">
      <c r="A27" s="9">
        <v>450315</v>
      </c>
      <c r="B27" s="10" t="s">
        <v>21</v>
      </c>
      <c r="C27" s="25">
        <v>2260</v>
      </c>
      <c r="D27" s="25">
        <f t="shared" si="1"/>
        <v>2677.5</v>
      </c>
      <c r="E27" s="25">
        <v>3095</v>
      </c>
      <c r="F27" s="1"/>
    </row>
    <row r="28" spans="1:6" ht="8.25" customHeight="1" x14ac:dyDescent="0.25">
      <c r="A28" s="7">
        <v>450314</v>
      </c>
      <c r="B28" s="8" t="s">
        <v>22</v>
      </c>
      <c r="C28" s="24">
        <v>545</v>
      </c>
      <c r="D28" s="24">
        <f t="shared" si="1"/>
        <v>645</v>
      </c>
      <c r="E28" s="24">
        <v>745</v>
      </c>
      <c r="F28" s="1"/>
    </row>
    <row r="29" spans="1:6" ht="8.25" customHeight="1" x14ac:dyDescent="0.25">
      <c r="A29" s="11">
        <v>450605</v>
      </c>
      <c r="B29" s="12" t="s">
        <v>23</v>
      </c>
      <c r="C29" s="26">
        <v>105</v>
      </c>
      <c r="D29" s="26">
        <f t="shared" si="1"/>
        <v>125</v>
      </c>
      <c r="E29" s="26">
        <v>145</v>
      </c>
      <c r="F29" s="1"/>
    </row>
    <row r="30" spans="1:6" ht="8.25" customHeight="1" x14ac:dyDescent="0.25">
      <c r="A30" s="1"/>
      <c r="B30" s="1"/>
      <c r="C30" s="1"/>
      <c r="D30" s="1"/>
      <c r="E30" s="1"/>
      <c r="F30" s="1"/>
    </row>
    <row r="31" spans="1:6" ht="8.25" customHeight="1" x14ac:dyDescent="0.25">
      <c r="A31" s="2" t="s">
        <v>2</v>
      </c>
      <c r="B31" s="2" t="s">
        <v>3</v>
      </c>
      <c r="C31" s="21" t="s">
        <v>62</v>
      </c>
      <c r="D31" s="30" t="s">
        <v>61</v>
      </c>
      <c r="E31" s="30" t="s">
        <v>63</v>
      </c>
      <c r="F31" s="1"/>
    </row>
    <row r="32" spans="1:6" ht="8.25" customHeight="1" x14ac:dyDescent="0.25">
      <c r="A32" s="3">
        <v>450478</v>
      </c>
      <c r="B32" s="4" t="s">
        <v>24</v>
      </c>
      <c r="C32" s="22">
        <v>12545</v>
      </c>
      <c r="D32" s="22">
        <f t="shared" ref="D32:D43" si="2">((E32-C32)/2)+C32</f>
        <v>14870</v>
      </c>
      <c r="E32" s="22">
        <v>17195</v>
      </c>
      <c r="F32" s="1"/>
    </row>
    <row r="33" spans="1:6" ht="8.25" customHeight="1" x14ac:dyDescent="0.25">
      <c r="A33" s="5"/>
      <c r="B33" s="6" t="s">
        <v>25</v>
      </c>
      <c r="C33" s="23">
        <v>11918</v>
      </c>
      <c r="D33" s="23">
        <f t="shared" si="2"/>
        <v>14127</v>
      </c>
      <c r="E33" s="23">
        <v>16336</v>
      </c>
      <c r="F33" s="1"/>
    </row>
    <row r="34" spans="1:6" ht="8.25" customHeight="1" x14ac:dyDescent="0.25">
      <c r="A34" s="7">
        <v>450126</v>
      </c>
      <c r="B34" s="8" t="s">
        <v>6</v>
      </c>
      <c r="C34" s="24">
        <v>545</v>
      </c>
      <c r="D34" s="24">
        <f t="shared" si="2"/>
        <v>650</v>
      </c>
      <c r="E34" s="24">
        <v>755</v>
      </c>
      <c r="F34" s="1"/>
    </row>
    <row r="35" spans="1:6" ht="8.25" customHeight="1" x14ac:dyDescent="0.25">
      <c r="A35" s="9">
        <v>450295</v>
      </c>
      <c r="B35" s="10" t="s">
        <v>18</v>
      </c>
      <c r="C35" s="25">
        <v>3085</v>
      </c>
      <c r="D35" s="25">
        <f t="shared" si="2"/>
        <v>3657.5</v>
      </c>
      <c r="E35" s="25">
        <v>4230</v>
      </c>
      <c r="F35" s="1"/>
    </row>
    <row r="36" spans="1:6" ht="8.25" customHeight="1" x14ac:dyDescent="0.25">
      <c r="A36" s="7">
        <v>450183</v>
      </c>
      <c r="B36" s="8" t="s">
        <v>26</v>
      </c>
      <c r="C36" s="24">
        <v>25</v>
      </c>
      <c r="D36" s="24">
        <f t="shared" si="2"/>
        <v>27.5</v>
      </c>
      <c r="E36" s="24">
        <v>30</v>
      </c>
      <c r="F36" s="1"/>
    </row>
    <row r="37" spans="1:6" ht="8.25" customHeight="1" x14ac:dyDescent="0.25">
      <c r="A37" s="9">
        <v>450176</v>
      </c>
      <c r="B37" s="10" t="s">
        <v>27</v>
      </c>
      <c r="C37" s="25">
        <v>105</v>
      </c>
      <c r="D37" s="25">
        <f t="shared" si="2"/>
        <v>125</v>
      </c>
      <c r="E37" s="25">
        <v>145</v>
      </c>
      <c r="F37" s="1"/>
    </row>
    <row r="38" spans="1:6" ht="8.25" customHeight="1" x14ac:dyDescent="0.25">
      <c r="A38" s="7">
        <v>450614</v>
      </c>
      <c r="B38" s="8" t="s">
        <v>19</v>
      </c>
      <c r="C38" s="24">
        <v>270</v>
      </c>
      <c r="D38" s="24">
        <f t="shared" si="2"/>
        <v>320</v>
      </c>
      <c r="E38" s="24">
        <v>370</v>
      </c>
      <c r="F38" s="1"/>
    </row>
    <row r="39" spans="1:6" ht="8.25" customHeight="1" x14ac:dyDescent="0.25">
      <c r="A39" s="9">
        <v>450174</v>
      </c>
      <c r="B39" s="10" t="s">
        <v>28</v>
      </c>
      <c r="C39" s="25">
        <v>290</v>
      </c>
      <c r="D39" s="25">
        <f t="shared" si="2"/>
        <v>340</v>
      </c>
      <c r="E39" s="25">
        <v>390</v>
      </c>
      <c r="F39" s="1"/>
    </row>
    <row r="40" spans="1:6" ht="8.25" customHeight="1" x14ac:dyDescent="0.25">
      <c r="A40" s="7">
        <v>450151</v>
      </c>
      <c r="B40" s="8" t="s">
        <v>29</v>
      </c>
      <c r="C40" s="24">
        <v>405</v>
      </c>
      <c r="D40" s="24">
        <f t="shared" si="2"/>
        <v>475</v>
      </c>
      <c r="E40" s="24">
        <v>545</v>
      </c>
      <c r="F40" s="1"/>
    </row>
    <row r="41" spans="1:6" ht="8.25" customHeight="1" x14ac:dyDescent="0.25">
      <c r="A41" s="9">
        <v>450173</v>
      </c>
      <c r="B41" s="10" t="s">
        <v>30</v>
      </c>
      <c r="C41" s="25">
        <v>4310</v>
      </c>
      <c r="D41" s="25">
        <f t="shared" si="2"/>
        <v>5115</v>
      </c>
      <c r="E41" s="25">
        <v>5920</v>
      </c>
      <c r="F41" s="1"/>
    </row>
    <row r="42" spans="1:6" ht="8.25" customHeight="1" x14ac:dyDescent="0.25">
      <c r="A42" s="7">
        <v>450158</v>
      </c>
      <c r="B42" s="8" t="s">
        <v>31</v>
      </c>
      <c r="C42" s="24">
        <v>2895</v>
      </c>
      <c r="D42" s="24">
        <f t="shared" si="2"/>
        <v>3435</v>
      </c>
      <c r="E42" s="24">
        <v>3975</v>
      </c>
      <c r="F42" s="1"/>
    </row>
    <row r="43" spans="1:6" ht="8.25" customHeight="1" x14ac:dyDescent="0.25">
      <c r="A43" s="11">
        <v>450152</v>
      </c>
      <c r="B43" s="12" t="s">
        <v>32</v>
      </c>
      <c r="C43" s="26">
        <v>615</v>
      </c>
      <c r="D43" s="26">
        <f t="shared" si="2"/>
        <v>725</v>
      </c>
      <c r="E43" s="26">
        <v>835</v>
      </c>
      <c r="F43" s="1"/>
    </row>
    <row r="44" spans="1:6" ht="14.55" customHeight="1" x14ac:dyDescent="0.25">
      <c r="A44" s="13"/>
      <c r="B44" s="13"/>
      <c r="C44" s="13"/>
      <c r="D44" s="13"/>
      <c r="E44" s="13"/>
      <c r="F44" s="13"/>
    </row>
    <row r="45" spans="1:6" ht="8.25" customHeight="1" x14ac:dyDescent="0.25">
      <c r="A45" s="14" t="s">
        <v>2</v>
      </c>
      <c r="B45" s="14" t="s">
        <v>3</v>
      </c>
      <c r="C45" s="21" t="s">
        <v>62</v>
      </c>
      <c r="D45" s="30" t="s">
        <v>61</v>
      </c>
      <c r="E45" s="30" t="s">
        <v>63</v>
      </c>
      <c r="F45" s="1"/>
    </row>
    <row r="46" spans="1:6" ht="8.25" customHeight="1" x14ac:dyDescent="0.25">
      <c r="A46" s="15">
        <v>450479</v>
      </c>
      <c r="B46" s="16" t="s">
        <v>33</v>
      </c>
      <c r="C46" s="22">
        <v>12390</v>
      </c>
      <c r="D46" s="22">
        <f t="shared" ref="D46:D59" si="3">((E46-C46)/2)+C46</f>
        <v>14670</v>
      </c>
      <c r="E46" s="22">
        <v>16950</v>
      </c>
      <c r="F46" s="1"/>
    </row>
    <row r="47" spans="1:6" ht="8.25" customHeight="1" x14ac:dyDescent="0.25">
      <c r="A47" s="5"/>
      <c r="B47" s="6" t="s">
        <v>34</v>
      </c>
      <c r="C47" s="23">
        <v>11771</v>
      </c>
      <c r="D47" s="23">
        <f t="shared" si="3"/>
        <v>13937</v>
      </c>
      <c r="E47" s="23">
        <v>16103</v>
      </c>
      <c r="F47" s="1"/>
    </row>
    <row r="48" spans="1:6" ht="8.25" customHeight="1" x14ac:dyDescent="0.25">
      <c r="A48" s="7">
        <v>450126</v>
      </c>
      <c r="B48" s="8" t="s">
        <v>6</v>
      </c>
      <c r="C48" s="24">
        <v>545</v>
      </c>
      <c r="D48" s="24">
        <f t="shared" si="3"/>
        <v>650</v>
      </c>
      <c r="E48" s="24">
        <v>755</v>
      </c>
      <c r="F48" s="1"/>
    </row>
    <row r="49" spans="1:6" ht="8.25" customHeight="1" x14ac:dyDescent="0.25">
      <c r="A49" s="9">
        <v>450295</v>
      </c>
      <c r="B49" s="10" t="s">
        <v>18</v>
      </c>
      <c r="C49" s="25">
        <v>3085</v>
      </c>
      <c r="D49" s="25">
        <f t="shared" si="3"/>
        <v>3657.5</v>
      </c>
      <c r="E49" s="25">
        <v>4230</v>
      </c>
      <c r="F49" s="1"/>
    </row>
    <row r="50" spans="1:6" ht="8.25" customHeight="1" x14ac:dyDescent="0.25">
      <c r="A50" s="7">
        <v>450696</v>
      </c>
      <c r="B50" s="8" t="s">
        <v>35</v>
      </c>
      <c r="C50" s="24">
        <v>105</v>
      </c>
      <c r="D50" s="24">
        <f t="shared" si="3"/>
        <v>120</v>
      </c>
      <c r="E50" s="24">
        <v>135</v>
      </c>
      <c r="F50" s="1"/>
    </row>
    <row r="51" spans="1:6" ht="8.25" customHeight="1" x14ac:dyDescent="0.25">
      <c r="A51" s="9">
        <v>450183</v>
      </c>
      <c r="B51" s="10" t="s">
        <v>26</v>
      </c>
      <c r="C51" s="25">
        <v>25</v>
      </c>
      <c r="D51" s="25">
        <f t="shared" si="3"/>
        <v>27.5</v>
      </c>
      <c r="E51" s="25">
        <v>30</v>
      </c>
      <c r="F51" s="1"/>
    </row>
    <row r="52" spans="1:6" ht="8.25" customHeight="1" x14ac:dyDescent="0.25">
      <c r="A52" s="7">
        <v>452014</v>
      </c>
      <c r="B52" s="8" t="s">
        <v>36</v>
      </c>
      <c r="C52" s="24">
        <v>150</v>
      </c>
      <c r="D52" s="24">
        <f t="shared" si="3"/>
        <v>177.5</v>
      </c>
      <c r="E52" s="24">
        <v>205</v>
      </c>
      <c r="F52" s="1"/>
    </row>
    <row r="53" spans="1:6" ht="8.25" customHeight="1" x14ac:dyDescent="0.25">
      <c r="A53" s="9">
        <v>450317</v>
      </c>
      <c r="B53" s="10" t="s">
        <v>37</v>
      </c>
      <c r="C53" s="25">
        <v>325</v>
      </c>
      <c r="D53" s="25">
        <f t="shared" si="3"/>
        <v>385</v>
      </c>
      <c r="E53" s="25">
        <v>445</v>
      </c>
      <c r="F53" s="1"/>
    </row>
    <row r="54" spans="1:6" ht="8.25" customHeight="1" x14ac:dyDescent="0.25">
      <c r="A54" s="7">
        <v>450653</v>
      </c>
      <c r="B54" s="8" t="s">
        <v>38</v>
      </c>
      <c r="C54" s="24">
        <v>35</v>
      </c>
      <c r="D54" s="24">
        <f t="shared" si="3"/>
        <v>30</v>
      </c>
      <c r="E54" s="24">
        <v>25</v>
      </c>
      <c r="F54" s="1"/>
    </row>
    <row r="55" spans="1:6" ht="8.25" customHeight="1" x14ac:dyDescent="0.25">
      <c r="A55" s="9">
        <v>450176</v>
      </c>
      <c r="B55" s="10" t="s">
        <v>27</v>
      </c>
      <c r="C55" s="25">
        <v>105</v>
      </c>
      <c r="D55" s="25">
        <f t="shared" si="3"/>
        <v>125</v>
      </c>
      <c r="E55" s="25">
        <v>145</v>
      </c>
      <c r="F55" s="1"/>
    </row>
    <row r="56" spans="1:6" ht="8.25" customHeight="1" x14ac:dyDescent="0.25">
      <c r="A56" s="7">
        <v>450173</v>
      </c>
      <c r="B56" s="8" t="s">
        <v>30</v>
      </c>
      <c r="C56" s="24">
        <v>4310</v>
      </c>
      <c r="D56" s="24">
        <f t="shared" si="3"/>
        <v>5115</v>
      </c>
      <c r="E56" s="24">
        <v>5920</v>
      </c>
      <c r="F56" s="1"/>
    </row>
    <row r="57" spans="1:6" ht="8.25" customHeight="1" x14ac:dyDescent="0.25">
      <c r="A57" s="9">
        <v>450561</v>
      </c>
      <c r="B57" s="10" t="s">
        <v>39</v>
      </c>
      <c r="C57" s="25">
        <v>940</v>
      </c>
      <c r="D57" s="25">
        <f t="shared" si="3"/>
        <v>1115</v>
      </c>
      <c r="E57" s="25">
        <v>1290</v>
      </c>
      <c r="F57" s="1"/>
    </row>
    <row r="58" spans="1:6" ht="8.25" customHeight="1" x14ac:dyDescent="0.25">
      <c r="A58" s="7">
        <v>450669</v>
      </c>
      <c r="B58" s="8" t="s">
        <v>40</v>
      </c>
      <c r="C58" s="24">
        <v>515</v>
      </c>
      <c r="D58" s="24">
        <f t="shared" si="3"/>
        <v>600</v>
      </c>
      <c r="E58" s="24">
        <v>685</v>
      </c>
      <c r="F58" s="1"/>
    </row>
    <row r="59" spans="1:6" ht="8.25" customHeight="1" x14ac:dyDescent="0.25">
      <c r="A59" s="11">
        <v>450546</v>
      </c>
      <c r="B59" s="12" t="s">
        <v>41</v>
      </c>
      <c r="C59" s="26">
        <v>2250</v>
      </c>
      <c r="D59" s="26">
        <f t="shared" si="3"/>
        <v>2667.5</v>
      </c>
      <c r="E59" s="26">
        <v>3085</v>
      </c>
      <c r="F59" s="1"/>
    </row>
    <row r="60" spans="1:6" ht="14.55" customHeight="1" x14ac:dyDescent="0.25">
      <c r="A60" s="13"/>
      <c r="B60" s="13"/>
      <c r="C60" s="13"/>
      <c r="D60" s="13"/>
      <c r="E60" s="13"/>
      <c r="F60" s="13"/>
    </row>
    <row r="61" spans="1:6" ht="8.25" customHeight="1" x14ac:dyDescent="0.25">
      <c r="A61" s="2" t="s">
        <v>2</v>
      </c>
      <c r="B61" s="2" t="s">
        <v>42</v>
      </c>
      <c r="C61" s="31" t="s">
        <v>62</v>
      </c>
      <c r="D61" s="30" t="s">
        <v>61</v>
      </c>
      <c r="E61" s="30" t="s">
        <v>63</v>
      </c>
      <c r="F61" s="1"/>
    </row>
    <row r="62" spans="1:6" ht="8.25" customHeight="1" x14ac:dyDescent="0.25">
      <c r="A62" s="17">
        <v>450008</v>
      </c>
      <c r="B62" s="18" t="s">
        <v>43</v>
      </c>
      <c r="C62" s="27">
        <v>425</v>
      </c>
      <c r="D62" s="27">
        <f t="shared" ref="D62:D81" si="4">((E62-C62)/2)+C62</f>
        <v>502.5</v>
      </c>
      <c r="E62" s="27">
        <v>580</v>
      </c>
      <c r="F62" s="1"/>
    </row>
    <row r="63" spans="1:6" ht="8.25" customHeight="1" x14ac:dyDescent="0.25">
      <c r="A63" s="9">
        <v>450010</v>
      </c>
      <c r="B63" s="10" t="s">
        <v>44</v>
      </c>
      <c r="C63" s="25">
        <v>600</v>
      </c>
      <c r="D63" s="25">
        <f t="shared" si="4"/>
        <v>710</v>
      </c>
      <c r="E63" s="25">
        <v>820</v>
      </c>
      <c r="F63" s="1"/>
    </row>
    <row r="64" spans="1:6" ht="8.25" customHeight="1" x14ac:dyDescent="0.25">
      <c r="A64" s="7">
        <v>450491</v>
      </c>
      <c r="B64" s="8" t="s">
        <v>45</v>
      </c>
      <c r="C64" s="24">
        <v>595</v>
      </c>
      <c r="D64" s="24">
        <f t="shared" si="4"/>
        <v>702.5</v>
      </c>
      <c r="E64" s="24">
        <v>810</v>
      </c>
      <c r="F64" s="1"/>
    </row>
    <row r="65" spans="1:6" ht="8.25" customHeight="1" x14ac:dyDescent="0.25">
      <c r="A65" s="9">
        <v>450155</v>
      </c>
      <c r="B65" s="10" t="s">
        <v>46</v>
      </c>
      <c r="C65" s="25">
        <v>605</v>
      </c>
      <c r="D65" s="25">
        <f t="shared" si="4"/>
        <v>720</v>
      </c>
      <c r="E65" s="25">
        <v>835</v>
      </c>
      <c r="F65" s="1"/>
    </row>
    <row r="66" spans="1:6" ht="8.25" customHeight="1" x14ac:dyDescent="0.25">
      <c r="A66" s="7">
        <v>450224</v>
      </c>
      <c r="B66" s="8" t="s">
        <v>47</v>
      </c>
      <c r="C66" s="24">
        <v>1065</v>
      </c>
      <c r="D66" s="24">
        <f t="shared" si="4"/>
        <v>1265</v>
      </c>
      <c r="E66" s="24">
        <v>1465</v>
      </c>
      <c r="F66" s="1"/>
    </row>
    <row r="67" spans="1:6" ht="7.05" customHeight="1" x14ac:dyDescent="0.25">
      <c r="A67" s="5"/>
      <c r="B67" s="5"/>
      <c r="C67" s="28"/>
      <c r="D67" s="28"/>
      <c r="E67" s="28"/>
      <c r="F67" s="1"/>
    </row>
    <row r="68" spans="1:6" ht="8.25" customHeight="1" x14ac:dyDescent="0.25">
      <c r="A68" s="7">
        <v>450009</v>
      </c>
      <c r="B68" s="8" t="s">
        <v>48</v>
      </c>
      <c r="C68" s="24">
        <v>130</v>
      </c>
      <c r="D68" s="24">
        <f t="shared" si="4"/>
        <v>152.5</v>
      </c>
      <c r="E68" s="24">
        <v>175</v>
      </c>
      <c r="F68" s="1"/>
    </row>
    <row r="69" spans="1:6" ht="8.25" customHeight="1" x14ac:dyDescent="0.25">
      <c r="A69" s="9">
        <v>450310</v>
      </c>
      <c r="B69" s="10" t="s">
        <v>49</v>
      </c>
      <c r="C69" s="25">
        <v>330</v>
      </c>
      <c r="D69" s="25">
        <f t="shared" si="4"/>
        <v>395</v>
      </c>
      <c r="E69" s="25">
        <v>460</v>
      </c>
      <c r="F69" s="1"/>
    </row>
    <row r="70" spans="1:6" ht="8.25" customHeight="1" x14ac:dyDescent="0.25">
      <c r="A70" s="7">
        <v>450154</v>
      </c>
      <c r="B70" s="8" t="s">
        <v>50</v>
      </c>
      <c r="C70" s="24">
        <v>675</v>
      </c>
      <c r="D70" s="24">
        <f t="shared" si="4"/>
        <v>802.5</v>
      </c>
      <c r="E70" s="24">
        <v>930</v>
      </c>
      <c r="F70" s="1"/>
    </row>
    <row r="71" spans="1:6" ht="8.25" customHeight="1" x14ac:dyDescent="0.25">
      <c r="A71" s="9">
        <v>450545</v>
      </c>
      <c r="B71" s="10" t="s">
        <v>51</v>
      </c>
      <c r="C71" s="25">
        <v>665</v>
      </c>
      <c r="D71" s="25">
        <f t="shared" si="4"/>
        <v>787.5</v>
      </c>
      <c r="E71" s="25">
        <v>910</v>
      </c>
      <c r="F71" s="1"/>
    </row>
    <row r="72" spans="1:6" ht="7.05" customHeight="1" x14ac:dyDescent="0.25">
      <c r="A72" s="19"/>
      <c r="B72" s="19"/>
      <c r="C72" s="29"/>
      <c r="D72" s="29"/>
      <c r="E72" s="29"/>
      <c r="F72" s="1"/>
    </row>
    <row r="73" spans="1:6" ht="8.25" customHeight="1" x14ac:dyDescent="0.25">
      <c r="A73" s="9">
        <v>450853</v>
      </c>
      <c r="B73" s="10" t="s">
        <v>52</v>
      </c>
      <c r="C73" s="25">
        <v>275</v>
      </c>
      <c r="D73" s="25">
        <f t="shared" si="4"/>
        <v>307.5</v>
      </c>
      <c r="E73" s="25">
        <v>340</v>
      </c>
      <c r="F73" s="1"/>
    </row>
    <row r="74" spans="1:6" ht="8.25" customHeight="1" x14ac:dyDescent="0.25">
      <c r="A74" s="7">
        <v>450854</v>
      </c>
      <c r="B74" s="8" t="s">
        <v>53</v>
      </c>
      <c r="C74" s="24">
        <v>395</v>
      </c>
      <c r="D74" s="24">
        <f t="shared" si="4"/>
        <v>435</v>
      </c>
      <c r="E74" s="24">
        <v>475</v>
      </c>
      <c r="F74" s="1"/>
    </row>
    <row r="75" spans="1:6" ht="8.25" customHeight="1" x14ac:dyDescent="0.25">
      <c r="A75" s="9">
        <v>450856</v>
      </c>
      <c r="B75" s="10" t="s">
        <v>54</v>
      </c>
      <c r="C75" s="25">
        <v>840</v>
      </c>
      <c r="D75" s="25">
        <f t="shared" si="4"/>
        <v>925</v>
      </c>
      <c r="E75" s="25">
        <v>1010</v>
      </c>
      <c r="F75" s="1"/>
    </row>
    <row r="76" spans="1:6" ht="8.25" customHeight="1" x14ac:dyDescent="0.25">
      <c r="A76" s="7">
        <v>450857</v>
      </c>
      <c r="B76" s="8" t="s">
        <v>55</v>
      </c>
      <c r="C76" s="24">
        <v>1390</v>
      </c>
      <c r="D76" s="24">
        <f t="shared" si="4"/>
        <v>1527.5</v>
      </c>
      <c r="E76" s="24">
        <v>1665</v>
      </c>
      <c r="F76" s="1"/>
    </row>
    <row r="77" spans="1:6" ht="8.25" customHeight="1" x14ac:dyDescent="0.25">
      <c r="A77" s="5"/>
      <c r="B77" s="5"/>
      <c r="C77" s="28"/>
      <c r="D77" s="28"/>
      <c r="E77" s="28"/>
      <c r="F77" s="1"/>
    </row>
    <row r="78" spans="1:6" ht="8.25" customHeight="1" x14ac:dyDescent="0.25">
      <c r="A78" s="7">
        <v>450744</v>
      </c>
      <c r="B78" s="8" t="s">
        <v>56</v>
      </c>
      <c r="C78" s="24">
        <v>2820</v>
      </c>
      <c r="D78" s="24">
        <f t="shared" si="4"/>
        <v>3327.5</v>
      </c>
      <c r="E78" s="24">
        <v>3835</v>
      </c>
      <c r="F78" s="1"/>
    </row>
    <row r="79" spans="1:6" ht="8.25" customHeight="1" x14ac:dyDescent="0.25">
      <c r="A79" s="9">
        <v>450565</v>
      </c>
      <c r="B79" s="10" t="s">
        <v>57</v>
      </c>
      <c r="C79" s="25">
        <v>2810</v>
      </c>
      <c r="D79" s="25">
        <f t="shared" si="4"/>
        <v>3330</v>
      </c>
      <c r="E79" s="25">
        <v>3850</v>
      </c>
      <c r="F79" s="1"/>
    </row>
    <row r="80" spans="1:6" ht="8.25" customHeight="1" x14ac:dyDescent="0.25">
      <c r="A80" s="7">
        <v>450566</v>
      </c>
      <c r="B80" s="8" t="s">
        <v>58</v>
      </c>
      <c r="C80" s="24">
        <v>3115</v>
      </c>
      <c r="D80" s="24">
        <f t="shared" si="4"/>
        <v>3700</v>
      </c>
      <c r="E80" s="24">
        <v>4285</v>
      </c>
      <c r="F80" s="1"/>
    </row>
    <row r="81" spans="1:6" ht="8.25" customHeight="1" x14ac:dyDescent="0.25">
      <c r="A81" s="11">
        <v>450567</v>
      </c>
      <c r="B81" s="12" t="s">
        <v>59</v>
      </c>
      <c r="C81" s="26">
        <v>4090</v>
      </c>
      <c r="D81" s="26">
        <f t="shared" si="4"/>
        <v>4852.5</v>
      </c>
      <c r="E81" s="26">
        <v>5615</v>
      </c>
      <c r="F81" s="1"/>
    </row>
    <row r="82" spans="1:6" ht="9.4499999999999993" customHeight="1" x14ac:dyDescent="0.25">
      <c r="A82" s="1"/>
      <c r="B82" s="1"/>
      <c r="C82" s="1"/>
      <c r="D82" s="1"/>
      <c r="E82" s="1"/>
      <c r="F82" s="1"/>
    </row>
    <row r="83" spans="1:6" ht="8.25" customHeight="1" x14ac:dyDescent="0.25">
      <c r="A83" s="32"/>
      <c r="B83" s="32"/>
      <c r="C83" s="32"/>
      <c r="D83" s="32"/>
      <c r="E83" s="32"/>
      <c r="F83" s="32"/>
    </row>
    <row r="84" spans="1:6" ht="8.25" customHeight="1" x14ac:dyDescent="0.25">
      <c r="A84" s="33"/>
      <c r="B84" s="34"/>
      <c r="C84" s="34"/>
      <c r="D84" s="34"/>
      <c r="E84" s="34"/>
      <c r="F84" s="34"/>
    </row>
  </sheetData>
  <mergeCells count="7">
    <mergeCell ref="A83:F83"/>
    <mergeCell ref="A84:F84"/>
    <mergeCell ref="A1:F1"/>
    <mergeCell ref="A2:F2"/>
    <mergeCell ref="A3:F3"/>
    <mergeCell ref="A4:F4"/>
    <mergeCell ref="A18:E18"/>
  </mergeCells>
  <pageMargins left="0.7" right="0.7" top="0.75" bottom="0.75" header="0.3" footer="0.3"/>
  <pageSetup paperSize="9" orientation="portrait" r:id="rId1"/>
  <headerFooter>
    <oddFooter>Pagina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Dovilé Vinogradé</dc:creator>
  <cp:lastModifiedBy>Filippo Mariuzzo</cp:lastModifiedBy>
  <cp:lastPrinted>2025-04-01T12:37:14Z</cp:lastPrinted>
  <dcterms:created xsi:type="dcterms:W3CDTF">2025-04-01T10:32:18Z</dcterms:created>
  <dcterms:modified xsi:type="dcterms:W3CDTF">2025-04-01T14:25:33Z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2025-04-01T00:00:00Z</vt:filetime>
  </property>
  <property fmtid="{D5CDD505-2E9C-101B-9397-08002B2CF9AE}" pid="5" name="Producer">
    <vt:lpwstr>Microsoft® Excel® for Microsoft 365</vt:lpwstr>
  </property>
</Properties>
</file>