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FORNITORI\MiR\LISTINI 2025\"/>
    </mc:Choice>
  </mc:AlternateContent>
  <xr:revisionPtr revIDLastSave="0" documentId="13_ncr:1_{257B0587-C85A-4E43-BDCF-15C21C71532E}" xr6:coauthVersionLast="47" xr6:coauthVersionMax="47" xr10:uidLastSave="{00000000-0000-0000-0000-000000000000}"/>
  <bookViews>
    <workbookView xWindow="29115" yWindow="1275" windowWidth="28485" windowHeight="1492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84" i="1" l="1"/>
  <c r="R883" i="1"/>
  <c r="R880" i="1"/>
  <c r="R879" i="1"/>
  <c r="R876" i="1"/>
  <c r="R875" i="1"/>
  <c r="R874" i="1"/>
  <c r="R873" i="1"/>
  <c r="R872" i="1"/>
  <c r="R871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5" i="1"/>
  <c r="R824" i="1"/>
  <c r="R823" i="1"/>
  <c r="R822" i="1"/>
  <c r="R821" i="1"/>
  <c r="R820" i="1"/>
  <c r="R819" i="1"/>
  <c r="R818" i="1"/>
  <c r="R817" i="1"/>
  <c r="R816" i="1"/>
  <c r="R815" i="1"/>
  <c r="R812" i="1"/>
  <c r="R811" i="1"/>
  <c r="R808" i="1"/>
  <c r="R807" i="1"/>
  <c r="R806" i="1"/>
  <c r="R805" i="1"/>
  <c r="R804" i="1"/>
  <c r="R803" i="1"/>
  <c r="R802" i="1"/>
  <c r="R799" i="1"/>
  <c r="R798" i="1"/>
  <c r="R797" i="1"/>
  <c r="R794" i="1"/>
  <c r="R793" i="1"/>
  <c r="R792" i="1"/>
  <c r="R791" i="1"/>
  <c r="R790" i="1"/>
  <c r="R789" i="1"/>
  <c r="R788" i="1"/>
  <c r="R787" i="1"/>
  <c r="R786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0" i="1"/>
  <c r="R709" i="1"/>
  <c r="R708" i="1"/>
  <c r="R707" i="1"/>
  <c r="R706" i="1"/>
  <c r="R705" i="1"/>
  <c r="R704" i="1"/>
  <c r="R703" i="1"/>
  <c r="R702" i="1"/>
  <c r="R701" i="1"/>
  <c r="R698" i="1"/>
  <c r="R697" i="1"/>
  <c r="R694" i="1"/>
  <c r="R693" i="1"/>
  <c r="R692" i="1"/>
  <c r="R691" i="1"/>
  <c r="R690" i="1"/>
  <c r="R689" i="1"/>
  <c r="R688" i="1"/>
  <c r="R687" i="1"/>
  <c r="R686" i="1"/>
  <c r="R685" i="1"/>
  <c r="R682" i="1"/>
  <c r="R681" i="1"/>
  <c r="R680" i="1"/>
  <c r="R679" i="1"/>
  <c r="R676" i="1"/>
  <c r="R673" i="1"/>
  <c r="R672" i="1"/>
  <c r="R671" i="1"/>
  <c r="R670" i="1"/>
  <c r="R669" i="1"/>
  <c r="R668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4" i="1"/>
  <c r="R613" i="1"/>
  <c r="R612" i="1"/>
  <c r="R611" i="1"/>
  <c r="R610" i="1"/>
  <c r="R609" i="1"/>
  <c r="R608" i="1"/>
  <c r="R607" i="1"/>
  <c r="R606" i="1"/>
  <c r="R605" i="1"/>
  <c r="R604" i="1"/>
  <c r="R601" i="1"/>
  <c r="R600" i="1"/>
  <c r="R597" i="1"/>
  <c r="R596" i="1"/>
  <c r="R595" i="1"/>
  <c r="R594" i="1"/>
  <c r="R593" i="1"/>
  <c r="R592" i="1"/>
  <c r="R589" i="1"/>
  <c r="R588" i="1"/>
  <c r="R587" i="1"/>
  <c r="R584" i="1"/>
  <c r="R583" i="1"/>
  <c r="R582" i="1"/>
  <c r="R581" i="1"/>
  <c r="R580" i="1"/>
  <c r="R579" i="1"/>
  <c r="R578" i="1"/>
  <c r="R577" i="1"/>
  <c r="R576" i="1"/>
  <c r="R572" i="1"/>
  <c r="R573" i="1"/>
  <c r="R571" i="1"/>
  <c r="R570" i="1"/>
  <c r="R569" i="1"/>
  <c r="R568" i="1"/>
  <c r="R567" i="1"/>
  <c r="R566" i="1"/>
  <c r="R565" i="1"/>
  <c r="R564" i="1"/>
  <c r="R563" i="1"/>
  <c r="R562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39" i="1"/>
  <c r="R542" i="1"/>
  <c r="R541" i="1"/>
  <c r="R540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4" i="1"/>
  <c r="R493" i="1"/>
  <c r="R492" i="1"/>
  <c r="R491" i="1"/>
  <c r="R490" i="1"/>
  <c r="R489" i="1"/>
  <c r="R488" i="1"/>
  <c r="R487" i="1"/>
  <c r="R486" i="1"/>
  <c r="R485" i="1"/>
  <c r="R482" i="1"/>
  <c r="R481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4" i="1"/>
  <c r="R463" i="1"/>
  <c r="R462" i="1"/>
  <c r="R461" i="1"/>
  <c r="R458" i="1"/>
  <c r="R455" i="1"/>
  <c r="R454" i="1"/>
  <c r="R451" i="1"/>
  <c r="R448" i="1"/>
  <c r="R447" i="1"/>
  <c r="R446" i="1"/>
  <c r="R445" i="1"/>
  <c r="R442" i="1"/>
  <c r="R441" i="1"/>
  <c r="R440" i="1"/>
  <c r="R439" i="1"/>
  <c r="R436" i="1"/>
  <c r="R435" i="1"/>
  <c r="R432" i="1"/>
  <c r="R431" i="1"/>
  <c r="R430" i="1"/>
  <c r="R429" i="1"/>
  <c r="R427" i="1"/>
  <c r="R426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7" i="1"/>
  <c r="R396" i="1"/>
  <c r="R395" i="1"/>
  <c r="R394" i="1"/>
  <c r="R393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2" i="1"/>
  <c r="R371" i="1"/>
  <c r="R368" i="1"/>
  <c r="R367" i="1"/>
  <c r="R366" i="1"/>
  <c r="R363" i="1"/>
  <c r="R362" i="1"/>
  <c r="R361" i="1"/>
  <c r="R360" i="1"/>
  <c r="R359" i="1"/>
  <c r="R358" i="1"/>
  <c r="R357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0" i="1"/>
  <c r="R339" i="1"/>
  <c r="R338" i="1"/>
  <c r="R337" i="1"/>
  <c r="R336" i="1"/>
  <c r="R335" i="1"/>
  <c r="R334" i="1"/>
  <c r="R333" i="1"/>
  <c r="R332" i="1"/>
  <c r="R331" i="1"/>
  <c r="R330" i="1"/>
  <c r="R327" i="1"/>
  <c r="R326" i="1"/>
  <c r="R325" i="1"/>
  <c r="R324" i="1"/>
  <c r="R321" i="1"/>
  <c r="R320" i="1"/>
  <c r="R317" i="1"/>
  <c r="R316" i="1"/>
  <c r="R315" i="1"/>
  <c r="R314" i="1"/>
  <c r="R311" i="1"/>
  <c r="R310" i="1"/>
  <c r="R309" i="1"/>
  <c r="R308" i="1"/>
  <c r="R307" i="1"/>
  <c r="R292" i="1"/>
  <c r="R290" i="1"/>
  <c r="R288" i="1"/>
  <c r="R286" i="1"/>
  <c r="R284" i="1"/>
  <c r="R282" i="1"/>
  <c r="R280" i="1"/>
  <c r="R278" i="1"/>
  <c r="R276" i="1"/>
  <c r="R274" i="1"/>
  <c r="R272" i="1"/>
  <c r="R271" i="1"/>
  <c r="R270" i="1"/>
  <c r="R268" i="1"/>
  <c r="R266" i="1"/>
  <c r="R264" i="1"/>
  <c r="R261" i="1"/>
  <c r="R258" i="1"/>
  <c r="R256" i="1"/>
  <c r="R255" i="1"/>
  <c r="R254" i="1"/>
  <c r="R252" i="1"/>
  <c r="R248" i="1"/>
  <c r="R246" i="1"/>
  <c r="R244" i="1"/>
  <c r="R242" i="1"/>
  <c r="R240" i="1"/>
  <c r="R238" i="1"/>
  <c r="R236" i="1"/>
  <c r="R234" i="1"/>
  <c r="R232" i="1"/>
  <c r="R228" i="1"/>
  <c r="R226" i="1"/>
  <c r="R220" i="1"/>
  <c r="R218" i="1"/>
  <c r="R216" i="1"/>
  <c r="R214" i="1"/>
  <c r="R212" i="1"/>
  <c r="R208" i="1"/>
  <c r="R206" i="1"/>
  <c r="R204" i="1"/>
  <c r="R202" i="1"/>
  <c r="R200" i="1"/>
  <c r="R198" i="1"/>
  <c r="R196" i="1"/>
  <c r="R194" i="1"/>
  <c r="R192" i="1"/>
  <c r="R190" i="1"/>
  <c r="R188" i="1"/>
  <c r="R186" i="1"/>
  <c r="R184" i="1"/>
  <c r="R182" i="1"/>
  <c r="R178" i="1"/>
  <c r="R176" i="1"/>
  <c r="R174" i="1"/>
  <c r="R172" i="1"/>
  <c r="R170" i="1"/>
  <c r="R166" i="1"/>
  <c r="R164" i="1"/>
  <c r="R160" i="1"/>
  <c r="R156" i="1"/>
  <c r="R154" i="1"/>
  <c r="R150" i="1"/>
  <c r="R148" i="1"/>
  <c r="R144" i="1"/>
  <c r="R140" i="1"/>
  <c r="R136" i="1"/>
  <c r="R134" i="1"/>
  <c r="R132" i="1"/>
  <c r="R130" i="1"/>
  <c r="R128" i="1"/>
  <c r="R126" i="1"/>
  <c r="R124" i="1"/>
  <c r="R122" i="1"/>
  <c r="R120" i="1"/>
  <c r="R118" i="1"/>
  <c r="R116" i="1"/>
  <c r="R114" i="1"/>
  <c r="R112" i="1"/>
  <c r="R110" i="1"/>
  <c r="R108" i="1"/>
  <c r="R106" i="1"/>
  <c r="R104" i="1"/>
  <c r="R102" i="1"/>
  <c r="R100" i="1"/>
  <c r="R96" i="1"/>
  <c r="R94" i="1"/>
  <c r="R92" i="1"/>
  <c r="R90" i="1"/>
  <c r="R88" i="1"/>
  <c r="R86" i="1"/>
  <c r="R82" i="1"/>
  <c r="R80" i="1"/>
  <c r="R78" i="1"/>
  <c r="R76" i="1"/>
  <c r="R75" i="1"/>
  <c r="R74" i="1"/>
  <c r="R72" i="1"/>
  <c r="R70" i="1"/>
  <c r="R68" i="1"/>
  <c r="R66" i="1"/>
  <c r="R64" i="1"/>
  <c r="R60" i="1"/>
  <c r="R58" i="1"/>
  <c r="R54" i="1"/>
  <c r="R52" i="1"/>
  <c r="R50" i="1"/>
  <c r="R48" i="1"/>
  <c r="R46" i="1"/>
  <c r="R42" i="1"/>
  <c r="R40" i="1"/>
  <c r="R38" i="1"/>
  <c r="R36" i="1"/>
  <c r="R34" i="1"/>
  <c r="R32" i="1"/>
  <c r="R30" i="1"/>
  <c r="R28" i="1"/>
  <c r="R26" i="1"/>
  <c r="R24" i="1"/>
  <c r="R22" i="1"/>
  <c r="R20" i="1"/>
  <c r="R18" i="1"/>
  <c r="R16" i="1"/>
  <c r="R14" i="1"/>
  <c r="R12" i="1"/>
  <c r="R304" i="1"/>
  <c r="R301" i="1"/>
  <c r="R300" i="1"/>
  <c r="R299" i="1"/>
  <c r="R298" i="1"/>
  <c r="R297" i="1"/>
  <c r="R295" i="1"/>
  <c r="R296" i="1"/>
  <c r="R294" i="1"/>
  <c r="R293" i="1"/>
  <c r="R291" i="1"/>
  <c r="R289" i="1"/>
  <c r="R287" i="1"/>
  <c r="R285" i="1"/>
  <c r="R283" i="1"/>
  <c r="R281" i="1"/>
  <c r="R279" i="1"/>
  <c r="R277" i="1"/>
  <c r="R275" i="1"/>
  <c r="R273" i="1"/>
  <c r="R269" i="1"/>
  <c r="R267" i="1"/>
  <c r="R265" i="1"/>
  <c r="R259" i="1"/>
  <c r="R257" i="1"/>
  <c r="R253" i="1"/>
  <c r="R251" i="1"/>
  <c r="R247" i="1"/>
  <c r="R245" i="1"/>
  <c r="R243" i="1"/>
  <c r="R241" i="1"/>
  <c r="R239" i="1"/>
  <c r="R237" i="1"/>
  <c r="R235" i="1"/>
  <c r="R233" i="1"/>
  <c r="R231" i="1"/>
  <c r="R227" i="1"/>
  <c r="R223" i="1"/>
  <c r="R221" i="1"/>
  <c r="R219" i="1"/>
  <c r="R217" i="1"/>
  <c r="R215" i="1"/>
  <c r="R213" i="1"/>
  <c r="R211" i="1"/>
  <c r="R207" i="1"/>
  <c r="R205" i="1"/>
  <c r="R203" i="1"/>
  <c r="R201" i="1"/>
  <c r="R199" i="1"/>
  <c r="R197" i="1"/>
  <c r="R195" i="1"/>
  <c r="R193" i="1"/>
  <c r="R191" i="1"/>
  <c r="R189" i="1"/>
  <c r="R187" i="1"/>
  <c r="R185" i="1"/>
  <c r="R183" i="1"/>
  <c r="R179" i="1"/>
  <c r="R177" i="1"/>
  <c r="R173" i="1"/>
  <c r="R175" i="1"/>
  <c r="R171" i="1"/>
  <c r="R167" i="1"/>
  <c r="R165" i="1"/>
  <c r="R161" i="1"/>
  <c r="R157" i="1"/>
  <c r="R155" i="1"/>
  <c r="R151" i="1"/>
  <c r="R149" i="1"/>
  <c r="R147" i="1"/>
  <c r="R143" i="1"/>
  <c r="R141" i="1"/>
  <c r="R137" i="1"/>
  <c r="R135" i="1"/>
  <c r="R133" i="1"/>
  <c r="R131" i="1"/>
  <c r="R129" i="1"/>
  <c r="R127" i="1"/>
  <c r="R125" i="1"/>
  <c r="R123" i="1"/>
  <c r="R121" i="1"/>
  <c r="R119" i="1"/>
  <c r="R117" i="1"/>
  <c r="R115" i="1"/>
  <c r="R113" i="1"/>
  <c r="R111" i="1"/>
  <c r="R109" i="1"/>
  <c r="R107" i="1"/>
  <c r="R105" i="1"/>
  <c r="R103" i="1"/>
  <c r="R101" i="1"/>
  <c r="R99" i="1"/>
  <c r="R95" i="1"/>
  <c r="R93" i="1"/>
  <c r="R91" i="1"/>
  <c r="R89" i="1"/>
  <c r="R87" i="1"/>
  <c r="R85" i="1"/>
  <c r="R81" i="1"/>
  <c r="R79" i="1"/>
  <c r="R77" i="1"/>
  <c r="R73" i="1"/>
  <c r="R71" i="1"/>
  <c r="R69" i="1"/>
  <c r="R67" i="1"/>
  <c r="R65" i="1"/>
  <c r="R61" i="1"/>
  <c r="R59" i="1"/>
  <c r="R55" i="1"/>
  <c r="R53" i="1"/>
  <c r="R51" i="1"/>
  <c r="R49" i="1"/>
  <c r="R47" i="1"/>
  <c r="R45" i="1"/>
  <c r="R41" i="1"/>
  <c r="R39" i="1"/>
  <c r="R37" i="1"/>
  <c r="R35" i="1"/>
  <c r="R33" i="1"/>
  <c r="R31" i="1"/>
  <c r="R29" i="1"/>
  <c r="R27" i="1"/>
  <c r="R25" i="1"/>
  <c r="R23" i="1"/>
  <c r="R21" i="1"/>
  <c r="R19" i="1"/>
  <c r="R17" i="1"/>
  <c r="R15" i="1"/>
  <c r="R13" i="1"/>
  <c r="R11" i="1"/>
  <c r="R8" i="1"/>
  <c r="R7" i="1"/>
  <c r="R6" i="1"/>
  <c r="R5" i="1"/>
</calcChain>
</file>

<file path=xl/sharedStrings.xml><?xml version="1.0" encoding="utf-8"?>
<sst xmlns="http://schemas.openxmlformats.org/spreadsheetml/2006/main" count="1857" uniqueCount="498">
  <si>
    <r>
      <rPr>
        <b/>
        <sz val="7"/>
        <color rgb="FF548ED4"/>
        <rFont val="Calibri"/>
        <family val="1"/>
      </rPr>
      <t>Part No.</t>
    </r>
  </si>
  <si>
    <r>
      <rPr>
        <b/>
        <sz val="7"/>
        <color rgb="FF548ED4"/>
        <rFont val="Calibri"/>
        <family val="1"/>
      </rPr>
      <t>Products</t>
    </r>
  </si>
  <si>
    <r>
      <rPr>
        <b/>
        <sz val="7"/>
        <color rgb="FF548ED4"/>
        <rFont val="Calibri"/>
        <family val="1"/>
      </rPr>
      <t>MiR Sparepart Packages*</t>
    </r>
  </si>
  <si>
    <r>
      <rPr>
        <b/>
        <sz val="7"/>
        <color rgb="FF548ED4"/>
        <rFont val="Calibri"/>
        <family val="1"/>
      </rPr>
      <t>MiR100 Power</t>
    </r>
  </si>
  <si>
    <r>
      <rPr>
        <b/>
        <sz val="7"/>
        <color rgb="FF548ED4"/>
        <rFont val="Calibri"/>
        <family val="1"/>
      </rPr>
      <t>HW 1.5</t>
    </r>
  </si>
  <si>
    <r>
      <rPr>
        <b/>
        <sz val="7"/>
        <color rgb="FF548ED4"/>
        <rFont val="Calibri"/>
        <family val="1"/>
      </rPr>
      <t>3.0.1</t>
    </r>
  </si>
  <si>
    <r>
      <rPr>
        <sz val="6.5"/>
        <rFont val="Calibri"/>
        <family val="1"/>
      </rPr>
      <t>Application Interface Power Cable</t>
    </r>
  </si>
  <si>
    <r>
      <rPr>
        <sz val="6.5"/>
        <rFont val="Calibri"/>
        <family val="1"/>
      </rPr>
      <t>Charging Cable EU, 110-230V</t>
    </r>
  </si>
  <si>
    <r>
      <rPr>
        <sz val="6.5"/>
        <rFont val="Calibri"/>
        <family val="1"/>
      </rPr>
      <t>N/A</t>
    </r>
  </si>
  <si>
    <r>
      <rPr>
        <sz val="6.5"/>
        <rFont val="Calibri"/>
        <family val="1"/>
      </rPr>
      <t>Charging Cable US, 110-230V</t>
    </r>
  </si>
  <si>
    <r>
      <rPr>
        <sz val="6.5"/>
        <rFont val="Calibri"/>
        <family val="1"/>
      </rPr>
      <t>Charging Connector</t>
    </r>
  </si>
  <si>
    <r>
      <rPr>
        <sz val="6.5"/>
        <rFont val="Calibri"/>
        <family val="1"/>
      </rPr>
      <t>Charging interface circuitBreaker 32A</t>
    </r>
  </si>
  <si>
    <r>
      <rPr>
        <sz val="6.5"/>
        <rFont val="Calibri"/>
        <family val="1"/>
      </rPr>
      <t>Charging Interface Optocoupler</t>
    </r>
  </si>
  <si>
    <r>
      <rPr>
        <sz val="6.5"/>
        <rFont val="Calibri"/>
        <family val="1"/>
      </rPr>
      <t>Charging interface relay</t>
    </r>
  </si>
  <si>
    <r>
      <rPr>
        <sz val="6.5"/>
        <rFont val="Calibri"/>
        <family val="1"/>
      </rPr>
      <t>Current measurement unit</t>
    </r>
  </si>
  <si>
    <r>
      <rPr>
        <sz val="6.5"/>
        <rFont val="Calibri"/>
        <family val="1"/>
      </rPr>
      <t>Main Battery Switch</t>
    </r>
  </si>
  <si>
    <r>
      <rPr>
        <sz val="6.5"/>
        <rFont val="Calibri"/>
        <family val="1"/>
      </rPr>
      <t>Main PSU, 24V</t>
    </r>
  </si>
  <si>
    <r>
      <rPr>
        <sz val="6.5"/>
        <rFont val="Calibri"/>
        <family val="1"/>
      </rPr>
      <t>MiR Board Power Relay</t>
    </r>
  </si>
  <si>
    <r>
      <rPr>
        <sz val="6.5"/>
        <rFont val="Calibri"/>
        <family val="1"/>
      </rPr>
      <t>MiR Board Power Relay 12V</t>
    </r>
  </si>
  <si>
    <r>
      <rPr>
        <sz val="6.5"/>
        <rFont val="Calibri"/>
        <family val="1"/>
      </rPr>
      <t>MiR Board Power Relay 24V</t>
    </r>
  </si>
  <si>
    <r>
      <rPr>
        <sz val="6.5"/>
        <rFont val="Calibri"/>
        <family val="1"/>
      </rPr>
      <t>MiR Board PSU, 5V</t>
    </r>
  </si>
  <si>
    <r>
      <rPr>
        <sz val="6.5"/>
        <rFont val="Calibri"/>
        <family val="1"/>
      </rPr>
      <t>Motor Brake Relay</t>
    </r>
  </si>
  <si>
    <r>
      <rPr>
        <sz val="6.5"/>
        <rFont val="Calibri"/>
        <family val="1"/>
      </rPr>
      <t>Motor Controller Safety Optocoupler</t>
    </r>
  </si>
  <si>
    <r>
      <rPr>
        <sz val="6.5"/>
        <rFont val="Calibri"/>
        <family val="1"/>
      </rPr>
      <t>Motor Safety Relay</t>
    </r>
  </si>
  <si>
    <r>
      <rPr>
        <sz val="6.5"/>
        <rFont val="Calibri"/>
        <family val="1"/>
      </rPr>
      <t>Safety System PSU, 24V</t>
    </r>
  </si>
  <si>
    <r>
      <rPr>
        <sz val="6.5"/>
        <rFont val="Calibri"/>
        <family val="1"/>
      </rPr>
      <t>PSU upgrade kit</t>
    </r>
  </si>
  <si>
    <r>
      <rPr>
        <sz val="6.5"/>
        <rFont val="Calibri"/>
        <family val="1"/>
      </rPr>
      <t>12V PSU</t>
    </r>
  </si>
  <si>
    <r>
      <rPr>
        <sz val="6.5"/>
        <rFont val="Calibri"/>
        <family val="1"/>
      </rPr>
      <t>MiR100/200 Circuit Breaker 1x16A</t>
    </r>
  </si>
  <si>
    <r>
      <rPr>
        <sz val="6.5"/>
        <rFont val="Calibri"/>
        <family val="1"/>
      </rPr>
      <t>Standard capacity battery MiR100/200</t>
    </r>
  </si>
  <si>
    <r>
      <rPr>
        <sz val="6.5"/>
        <rFont val="Calibri"/>
        <family val="1"/>
      </rPr>
      <t>Extended capacity battery MIR100/200</t>
    </r>
  </si>
  <si>
    <r>
      <rPr>
        <sz val="6.5"/>
        <rFont val="Calibri"/>
        <family val="1"/>
      </rPr>
      <t>Battery harness MiR100/200</t>
    </r>
  </si>
  <si>
    <r>
      <rPr>
        <sz val="6.5"/>
        <rFont val="Calibri"/>
        <family val="1"/>
      </rPr>
      <t>Custom pre-charge circuit</t>
    </r>
  </si>
  <si>
    <r>
      <rPr>
        <sz val="6.5"/>
        <rFont val="Calibri"/>
        <family val="1"/>
      </rPr>
      <t>Adaptor cable 24v, w/o sub-D connector, MiR100/200</t>
    </r>
  </si>
  <si>
    <r>
      <rPr>
        <sz val="6.5"/>
        <rFont val="Calibri"/>
        <family val="1"/>
      </rPr>
      <t>TVS retrofit kit, MiR100/200</t>
    </r>
  </si>
  <si>
    <r>
      <rPr>
        <sz val="6.5"/>
        <rFont val="Calibri"/>
        <family val="1"/>
      </rPr>
      <t>Motor brake relay Monitor , MiR100/200, HW3.0-HW7.0</t>
    </r>
  </si>
  <si>
    <r>
      <rPr>
        <sz val="6.5"/>
        <rFont val="Calibri"/>
        <family val="1"/>
      </rPr>
      <t>Battery cable w. CAN, MiR100/200</t>
    </r>
  </si>
  <si>
    <r>
      <rPr>
        <sz val="6.5"/>
        <rFont val="Calibri"/>
        <family val="1"/>
      </rPr>
      <t>Plastic isolation block, charging pads, MiR100 HW4.0-7.0, MiR200</t>
    </r>
  </si>
  <si>
    <r>
      <rPr>
        <b/>
        <sz val="7"/>
        <color rgb="FF548ED4"/>
        <rFont val="Calibri"/>
        <family val="1"/>
      </rPr>
      <t>MiR100 Motor &amp; Wheels</t>
    </r>
  </si>
  <si>
    <r>
      <rPr>
        <sz val="6.5"/>
        <rFont val="Calibri"/>
        <family val="1"/>
      </rPr>
      <t>Caster Wheels, 4 pcs</t>
    </r>
  </si>
  <si>
    <r>
      <rPr>
        <sz val="6.5"/>
        <rFont val="Calibri"/>
        <family val="1"/>
      </rPr>
      <t>Drive Original Wheels, 2 pcs</t>
    </r>
  </si>
  <si>
    <r>
      <rPr>
        <sz val="6.5"/>
        <rFont val="Calibri"/>
        <family val="1"/>
      </rPr>
      <t>EMC cage complete</t>
    </r>
  </si>
  <si>
    <r>
      <rPr>
        <sz val="6.5"/>
        <rFont val="Calibri"/>
        <family val="1"/>
      </rPr>
      <t>Motor Controller for Brushed Motors</t>
    </r>
  </si>
  <si>
    <r>
      <rPr>
        <sz val="6.5"/>
        <rFont val="Calibri"/>
        <family val="1"/>
      </rPr>
      <t>Motor with Left Bogie kit MiR100</t>
    </r>
  </si>
  <si>
    <r>
      <rPr>
        <sz val="6.5"/>
        <rFont val="Calibri"/>
        <family val="1"/>
      </rPr>
      <t>Motor with Right Bogie kit MiR100</t>
    </r>
  </si>
  <si>
    <r>
      <rPr>
        <sz val="6.5"/>
        <rFont val="Calibri"/>
        <family val="1"/>
      </rPr>
      <t>Motor &amp; gearing MiR100</t>
    </r>
  </si>
  <si>
    <r>
      <rPr>
        <sz val="6.5"/>
        <rFont val="Calibri"/>
        <family val="1"/>
      </rPr>
      <t>Caster wheel plug MiR100/200</t>
    </r>
  </si>
  <si>
    <r>
      <rPr>
        <sz val="6.5"/>
        <rFont val="Calibri"/>
        <family val="1"/>
      </rPr>
      <t>Motor, motor only no gearing, MiR100 HW1.5-HW7.0</t>
    </r>
  </si>
  <si>
    <r>
      <rPr>
        <sz val="6.5"/>
        <rFont val="Calibri"/>
        <family val="1"/>
      </rPr>
      <t>Drivewheels and Casterwheels, MiR100/200</t>
    </r>
  </si>
  <si>
    <r>
      <rPr>
        <b/>
        <sz val="7"/>
        <color rgb="FF548ED4"/>
        <rFont val="Calibri"/>
        <family val="1"/>
      </rPr>
      <t>MiR100 Processing units</t>
    </r>
  </si>
  <si>
    <r>
      <rPr>
        <sz val="6.5"/>
        <rFont val="Calibri"/>
        <family val="1"/>
      </rPr>
      <t>Processing Unit PSU, 12V</t>
    </r>
  </si>
  <si>
    <r>
      <rPr>
        <sz val="6.5"/>
        <rFont val="Calibri"/>
        <family val="1"/>
      </rPr>
      <t>Processing Unit</t>
    </r>
  </si>
  <si>
    <r>
      <rPr>
        <sz val="6.5"/>
        <rFont val="Calibri"/>
        <family val="1"/>
      </rPr>
      <t>Processing unit MiR100/200</t>
    </r>
  </si>
  <si>
    <r>
      <rPr>
        <b/>
        <sz val="7"/>
        <color rgb="FF548ED4"/>
        <rFont val="Calibri"/>
        <family val="1"/>
      </rPr>
      <t>MiR100 Covers &amp; External parts</t>
    </r>
  </si>
  <si>
    <r>
      <rPr>
        <sz val="6.5"/>
        <rFont val="Calibri"/>
        <family val="1"/>
      </rPr>
      <t>Antenna 2,4 GHz incl. cable, 5 pcs</t>
    </r>
  </si>
  <si>
    <r>
      <rPr>
        <sz val="6.5"/>
        <rFont val="Calibri"/>
        <family val="1"/>
      </rPr>
      <t>Emergency Stop, Power</t>
    </r>
  </si>
  <si>
    <r>
      <rPr>
        <sz val="6.5"/>
        <rFont val="Calibri"/>
        <family val="1"/>
      </rPr>
      <t>Emergency stop, top interface (from 7 pols to 10 pols)</t>
    </r>
  </si>
  <si>
    <r>
      <rPr>
        <sz val="6.5"/>
        <rFont val="Calibri"/>
        <family val="1"/>
      </rPr>
      <t>Front Cover MiR100</t>
    </r>
  </si>
  <si>
    <r>
      <rPr>
        <sz val="6.5"/>
        <rFont val="Calibri"/>
        <family val="1"/>
      </rPr>
      <t>Rear Cover MIR100</t>
    </r>
  </si>
  <si>
    <r>
      <rPr>
        <sz val="6.5"/>
        <rFont val="Calibri"/>
        <family val="1"/>
      </rPr>
      <t>Side Cover MiR100</t>
    </r>
  </si>
  <si>
    <r>
      <rPr>
        <sz val="6.5"/>
        <rFont val="Calibri"/>
        <family val="1"/>
      </rPr>
      <t>Top Cover MiR100</t>
    </r>
  </si>
  <si>
    <r>
      <rPr>
        <sz val="6.5"/>
        <rFont val="Calibri"/>
        <family val="1"/>
      </rPr>
      <t>Top Cover, Antenna Ready MiR100</t>
    </r>
  </si>
  <si>
    <r>
      <rPr>
        <sz val="6.5"/>
        <rFont val="Calibri"/>
        <family val="1"/>
      </rPr>
      <t>Corner cover M100/MiR200, 2 pcs</t>
    </r>
  </si>
  <si>
    <r>
      <rPr>
        <sz val="6.5"/>
        <rFont val="Calibri"/>
        <family val="1"/>
      </rPr>
      <t>Power Button</t>
    </r>
  </si>
  <si>
    <r>
      <rPr>
        <sz val="6.5"/>
        <rFont val="Calibri"/>
        <family val="1"/>
      </rPr>
      <t>Safety System Reset Button</t>
    </r>
  </si>
  <si>
    <r>
      <rPr>
        <sz val="6.5"/>
        <rFont val="Calibri"/>
        <family val="1"/>
      </rPr>
      <t>Rear cover, extended battery, MiR100</t>
    </r>
  </si>
  <si>
    <r>
      <rPr>
        <sz val="6.5"/>
        <rFont val="Calibri"/>
        <family val="1"/>
      </rPr>
      <t>Top interface connectors, MiR100/200</t>
    </r>
  </si>
  <si>
    <r>
      <rPr>
        <sz val="6.5"/>
        <rFont val="Calibri"/>
        <family val="1"/>
      </rPr>
      <t>Antenna bracket, MiR100/200 HW 5.0-7.0</t>
    </r>
  </si>
  <si>
    <r>
      <rPr>
        <b/>
        <sz val="7"/>
        <color rgb="FF548ED4"/>
        <rFont val="Calibri"/>
        <family val="1"/>
      </rPr>
      <t>MiR100 Sensors</t>
    </r>
  </si>
  <si>
    <r>
      <rPr>
        <sz val="6.5"/>
        <rFont val="Calibri"/>
        <family val="1"/>
      </rPr>
      <t>3D Camera, D435 module</t>
    </r>
  </si>
  <si>
    <r>
      <rPr>
        <sz val="6.5"/>
        <rFont val="Calibri"/>
        <family val="1"/>
      </rPr>
      <t>Camera upgrade kit MiR100</t>
    </r>
  </si>
  <si>
    <r>
      <rPr>
        <sz val="6.5"/>
        <rFont val="Calibri"/>
        <family val="1"/>
      </rPr>
      <t>Cover Glass for Safety Scanner, S300</t>
    </r>
  </si>
  <si>
    <r>
      <rPr>
        <sz val="6.5"/>
        <rFont val="Calibri"/>
        <family val="1"/>
      </rPr>
      <t>Lid for Safety Scanner, S300</t>
    </r>
  </si>
  <si>
    <r>
      <rPr>
        <sz val="6.5"/>
        <rFont val="Calibri"/>
        <family val="1"/>
      </rPr>
      <t>Safety Scanner, S300</t>
    </r>
  </si>
  <si>
    <r>
      <rPr>
        <sz val="6.5"/>
        <rFont val="Calibri"/>
        <family val="1"/>
      </rPr>
      <t>Ultrasonic Sensor</t>
    </r>
  </si>
  <si>
    <r>
      <rPr>
        <sz val="6.5"/>
        <rFont val="Calibri"/>
        <family val="1"/>
      </rPr>
      <t>Ultrasonic sensor w. bracket</t>
    </r>
  </si>
  <si>
    <r>
      <rPr>
        <sz val="6.5"/>
        <rFont val="Calibri"/>
        <family val="1"/>
      </rPr>
      <t>SICK Controller (CPU)</t>
    </r>
  </si>
  <si>
    <r>
      <rPr>
        <sz val="6.5"/>
        <rFont val="Calibri"/>
        <family val="1"/>
      </rPr>
      <t>SICK Memory plug (MPL-plug)</t>
    </r>
  </si>
  <si>
    <r>
      <rPr>
        <sz val="6.5"/>
        <rFont val="Calibri"/>
        <family val="1"/>
      </rPr>
      <t>SICK Gateway Ethernet/IP (Gent)</t>
    </r>
  </si>
  <si>
    <r>
      <rPr>
        <sz val="6.5"/>
        <rFont val="Calibri"/>
        <family val="1"/>
      </rPr>
      <t>SICK Module I/O 8in/4out (XTIO)</t>
    </r>
  </si>
  <si>
    <r>
      <rPr>
        <sz val="6.5"/>
        <rFont val="Calibri"/>
        <family val="1"/>
      </rPr>
      <t>SICK Safe Motion (MOC)</t>
    </r>
  </si>
  <si>
    <r>
      <rPr>
        <b/>
        <sz val="7"/>
        <color rgb="FF548ED4"/>
        <rFont val="Calibri"/>
        <family val="1"/>
      </rPr>
      <t>MiR100 Misc.</t>
    </r>
  </si>
  <si>
    <r>
      <rPr>
        <sz val="6.5"/>
        <rFont val="Calibri"/>
        <family val="1"/>
      </rPr>
      <t>Application Interface Ignition Relay</t>
    </r>
  </si>
  <si>
    <r>
      <rPr>
        <sz val="6.5"/>
        <rFont val="Calibri"/>
        <family val="1"/>
      </rPr>
      <t>MiR Board Kit</t>
    </r>
  </si>
  <si>
    <r>
      <rPr>
        <sz val="6.5"/>
        <rFont val="Calibri"/>
        <family val="1"/>
      </rPr>
      <t>MiR Board with relay control and Teensy</t>
    </r>
  </si>
  <si>
    <r>
      <rPr>
        <sz val="6.5"/>
        <rFont val="Calibri"/>
        <family val="1"/>
      </rPr>
      <t>Router Mikrotik HAP ac lite</t>
    </r>
  </si>
  <si>
    <r>
      <rPr>
        <sz val="6.5"/>
        <rFont val="Calibri"/>
        <family val="1"/>
      </rPr>
      <t>Giteki Router Kit MiR100/200</t>
    </r>
  </si>
  <si>
    <r>
      <rPr>
        <sz val="6.5"/>
        <rFont val="Calibri"/>
        <family val="1"/>
      </rPr>
      <t>Transient Protection</t>
    </r>
  </si>
  <si>
    <r>
      <rPr>
        <sz val="6.5"/>
        <rFont val="Calibri"/>
        <family val="1"/>
      </rPr>
      <t>Safety Scanner Converter Kit</t>
    </r>
  </si>
  <si>
    <r>
      <rPr>
        <sz val="6.5"/>
        <rFont val="Calibri"/>
        <family val="1"/>
      </rPr>
      <t>Application Mounting Plugs M10, 4 pcs</t>
    </r>
  </si>
  <si>
    <r>
      <rPr>
        <sz val="6.5"/>
        <rFont val="Calibri"/>
        <family val="1"/>
      </rPr>
      <t>Loudspeaker Kit</t>
    </r>
  </si>
  <si>
    <r>
      <rPr>
        <sz val="6.5"/>
        <rFont val="Calibri"/>
        <family val="1"/>
      </rPr>
      <t>W053 - Encoder &amp; Relay-signal harness</t>
    </r>
  </si>
  <si>
    <r>
      <rPr>
        <sz val="6.5"/>
        <rFont val="Calibri"/>
        <family val="1"/>
      </rPr>
      <t>USB 3.0 chassis plug</t>
    </r>
  </si>
  <si>
    <r>
      <rPr>
        <sz val="6.5"/>
        <rFont val="Calibri"/>
        <family val="1"/>
      </rPr>
      <t>Fuse set MiR100/200</t>
    </r>
  </si>
  <si>
    <r>
      <rPr>
        <sz val="6.5"/>
        <rFont val="Calibri"/>
        <family val="1"/>
      </rPr>
      <t>Network cable, cat6, 1m</t>
    </r>
  </si>
  <si>
    <r>
      <rPr>
        <sz val="6.5"/>
        <rFont val="Calibri"/>
        <family val="1"/>
      </rPr>
      <t>Access Point</t>
    </r>
  </si>
  <si>
    <r>
      <rPr>
        <sz val="6.5"/>
        <rFont val="Calibri"/>
        <family val="1"/>
      </rPr>
      <t>Camera bracket, MiR100/200</t>
    </r>
  </si>
  <si>
    <r>
      <rPr>
        <sz val="6.5"/>
        <rFont val="Calibri"/>
        <family val="1"/>
      </rPr>
      <t>Rocker switch with wires</t>
    </r>
  </si>
  <si>
    <r>
      <rPr>
        <sz val="6.5"/>
        <rFont val="Calibri"/>
        <family val="1"/>
      </rPr>
      <t>Packaging MiR100/MiR200/MiR250</t>
    </r>
  </si>
  <si>
    <r>
      <rPr>
        <sz val="6.5"/>
        <rFont val="Calibri"/>
        <family val="1"/>
      </rPr>
      <t>Cable Charge Adapter, MiR100/200</t>
    </r>
  </si>
  <si>
    <r>
      <rPr>
        <sz val="6.5"/>
        <rFont val="Calibri"/>
        <family val="1"/>
      </rPr>
      <t>SICK comp. PLC module inc. memory plug</t>
    </r>
  </si>
  <si>
    <r>
      <rPr>
        <sz val="6.5"/>
        <rFont val="Calibri"/>
        <family val="1"/>
      </rPr>
      <t>Set of silver-plated charging pads</t>
    </r>
  </si>
  <si>
    <r>
      <rPr>
        <sz val="6.5"/>
        <rFont val="Calibri"/>
        <family val="1"/>
      </rPr>
      <t>Ethernet cable RJ45 - M8 0,5m</t>
    </r>
  </si>
  <si>
    <r>
      <rPr>
        <sz val="6.5"/>
        <rFont val="Calibri"/>
        <family val="1"/>
      </rPr>
      <t>Mounting kit for router MiR100/200</t>
    </r>
  </si>
  <si>
    <r>
      <rPr>
        <sz val="6.5"/>
        <rFont val="Calibri"/>
        <family val="1"/>
      </rPr>
      <t>Charge camera plate, MiR100/200 HW 5.0 or newer</t>
    </r>
  </si>
  <si>
    <r>
      <rPr>
        <sz val="6.5"/>
        <rFont val="Calibri"/>
        <family val="1"/>
      </rPr>
      <t>LED set incl. Alu rails</t>
    </r>
  </si>
  <si>
    <r>
      <rPr>
        <sz val="6.5"/>
        <rFont val="Calibri"/>
        <family val="1"/>
      </rPr>
      <t>Sticker, Warning riding on the robot</t>
    </r>
  </si>
  <si>
    <r>
      <rPr>
        <sz val="6.5"/>
        <rFont val="Calibri"/>
        <family val="1"/>
      </rPr>
      <t>W053 Encoder &amp; Relay-signal harness angled con.</t>
    </r>
  </si>
  <si>
    <r>
      <rPr>
        <sz val="6.5"/>
        <rFont val="Calibri"/>
        <family val="1"/>
      </rPr>
      <t>Replacement box Standard battery, MiR100 HW v.1.0</t>
    </r>
  </si>
  <si>
    <r>
      <rPr>
        <sz val="6.5"/>
        <rFont val="Calibri"/>
        <family val="1"/>
      </rPr>
      <t>Replacement box Standard battery, MIR100HWv.1.1 &amp; 200 HW v.1</t>
    </r>
  </si>
  <si>
    <r>
      <rPr>
        <sz val="6.5"/>
        <rFont val="Calibri"/>
        <family val="1"/>
      </rPr>
      <t>Replacement box Standard battery, MiR100/200 HW v.2.0 - 4.0</t>
    </r>
  </si>
  <si>
    <r>
      <rPr>
        <sz val="6.5"/>
        <rFont val="Calibri"/>
        <family val="1"/>
      </rPr>
      <t>Replacement box Standard battery, MiR100/200 HW v.5.0</t>
    </r>
  </si>
  <si>
    <r>
      <rPr>
        <sz val="6.5"/>
        <rFont val="Calibri"/>
        <family val="1"/>
      </rPr>
      <t>Cable, power, DFI and Router, MiR100/200 HW5.0-HW7.0</t>
    </r>
  </si>
  <si>
    <r>
      <rPr>
        <sz val="6.5"/>
        <rFont val="Calibri"/>
        <family val="1"/>
      </rPr>
      <t>SSD DFI, MiR100/200 HW5.0 - HW7.0, MiR250/500/600/1000/1350</t>
    </r>
  </si>
  <si>
    <r>
      <rPr>
        <sz val="6.5"/>
        <rFont val="Calibri"/>
        <family val="1"/>
      </rPr>
      <t>Replacement box Extend. capacity battery MiR100 HW v.1.0</t>
    </r>
  </si>
  <si>
    <r>
      <rPr>
        <sz val="6.5"/>
        <rFont val="Calibri"/>
        <family val="1"/>
      </rPr>
      <t>Replacement box Extend. capacity battery MIR100 HW v.1.1</t>
    </r>
  </si>
  <si>
    <r>
      <rPr>
        <sz val="6.5"/>
        <rFont val="Calibri"/>
        <family val="1"/>
      </rPr>
      <t>Replacement box Extend. capacity battery MiR100 HW v.2.0-3.0</t>
    </r>
  </si>
  <si>
    <r>
      <rPr>
        <sz val="6.5"/>
        <rFont val="Calibri"/>
        <family val="1"/>
      </rPr>
      <t>Replacement box Extend. capacity battery MiR100 HW v.5.0</t>
    </r>
  </si>
  <si>
    <r>
      <rPr>
        <sz val="6.5"/>
        <rFont val="Calibri"/>
        <family val="1"/>
      </rPr>
      <t>Replacement box Extend. capacity battery MiR100 HW v.4.0</t>
    </r>
  </si>
  <si>
    <r>
      <rPr>
        <sz val="6.5"/>
        <rFont val="Calibri"/>
        <family val="1"/>
      </rPr>
      <t>Manual charging switch</t>
    </r>
  </si>
  <si>
    <r>
      <rPr>
        <sz val="6.5"/>
        <rFont val="Calibri"/>
        <family val="1"/>
      </rPr>
      <t>MiR Board, MiR100 HW2.0- 7.0, MiR200 HW1.0 - HW6.0</t>
    </r>
  </si>
  <si>
    <r>
      <rPr>
        <b/>
        <sz val="7"/>
        <color rgb="FF548ED4"/>
        <rFont val="Calibri"/>
        <family val="1"/>
      </rPr>
      <t>MiR Hook 100 Power</t>
    </r>
  </si>
  <si>
    <r>
      <rPr>
        <b/>
        <sz val="7"/>
        <color rgb="FF548ED4"/>
        <rFont val="Calibri"/>
        <family val="1"/>
      </rPr>
      <t>HW 1.0</t>
    </r>
  </si>
  <si>
    <r>
      <rPr>
        <sz val="6.5"/>
        <rFont val="Calibri"/>
        <family val="1"/>
      </rPr>
      <t>Emergency Stop Cable Legacy MiR Hook 100</t>
    </r>
  </si>
  <si>
    <r>
      <rPr>
        <sz val="6.5"/>
        <rFont val="Calibri"/>
        <family val="1"/>
      </rPr>
      <t>Emergency Stop Cable Power MiR Hook 100/200</t>
    </r>
  </si>
  <si>
    <r>
      <rPr>
        <sz val="6.5"/>
        <rFont val="Calibri"/>
        <family val="1"/>
      </rPr>
      <t>MiR Hook 100 upgrade kit, emergency stop</t>
    </r>
  </si>
  <si>
    <r>
      <rPr>
        <sz val="6.5"/>
        <rFont val="Calibri"/>
        <family val="1"/>
      </rPr>
      <t>Emergency stop replacement Hook 7 pins</t>
    </r>
  </si>
  <si>
    <r>
      <rPr>
        <sz val="6.5"/>
        <rFont val="Calibri"/>
        <family val="1"/>
      </rPr>
      <t>Emergency stop replacement Hook 10 pins</t>
    </r>
  </si>
  <si>
    <r>
      <rPr>
        <b/>
        <sz val="7"/>
        <color rgb="FF548ED4"/>
        <rFont val="Calibri"/>
        <family val="1"/>
      </rPr>
      <t>MiR Hook 100 sensors</t>
    </r>
  </si>
  <si>
    <r>
      <rPr>
        <sz val="6.5"/>
        <rFont val="Calibri"/>
        <family val="1"/>
      </rPr>
      <t>Encoder disc</t>
    </r>
  </si>
  <si>
    <r>
      <rPr>
        <sz val="6.5"/>
        <rFont val="Calibri"/>
        <family val="1"/>
      </rPr>
      <t>Camera upgrade kit MiR Hook 100</t>
    </r>
  </si>
  <si>
    <r>
      <rPr>
        <sz val="6.5"/>
        <rFont val="Calibri"/>
        <family val="1"/>
      </rPr>
      <t>Retro fit QR camera hook</t>
    </r>
  </si>
  <si>
    <r>
      <rPr>
        <sz val="6.5"/>
        <rFont val="Calibri"/>
        <family val="1"/>
      </rPr>
      <t>QR camera hook</t>
    </r>
  </si>
  <si>
    <r>
      <rPr>
        <b/>
        <sz val="7"/>
        <color rgb="FF548ED4"/>
        <rFont val="Calibri"/>
        <family val="1"/>
      </rPr>
      <t>MiR Hook 100 Motors</t>
    </r>
  </si>
  <si>
    <r>
      <rPr>
        <sz val="6.5"/>
        <rFont val="Calibri"/>
        <family val="1"/>
      </rPr>
      <t>Actuator long MiR Hook 100/200/250</t>
    </r>
  </si>
  <si>
    <r>
      <rPr>
        <sz val="6.5"/>
        <rFont val="Calibri"/>
        <family val="1"/>
      </rPr>
      <t>Actuator short MiR Hook 100/200</t>
    </r>
  </si>
  <si>
    <r>
      <rPr>
        <sz val="6.5"/>
        <rFont val="Calibri"/>
        <family val="1"/>
      </rPr>
      <t>Hook break engine</t>
    </r>
  </si>
  <si>
    <r>
      <rPr>
        <b/>
        <sz val="7"/>
        <color rgb="FF548ED4"/>
        <rFont val="Calibri"/>
        <family val="1"/>
      </rPr>
      <t>MiR Hook 100 Processing units</t>
    </r>
  </si>
  <si>
    <r>
      <rPr>
        <sz val="6.5"/>
        <rFont val="Calibri"/>
        <family val="1"/>
      </rPr>
      <t>Processing Unit MiR Hook 100/200</t>
    </r>
  </si>
  <si>
    <r>
      <rPr>
        <sz val="6.5"/>
        <rFont val="Calibri"/>
        <family val="1"/>
      </rPr>
      <t>Processing Unit PSU, 12V MiR Hook 100/200</t>
    </r>
  </si>
  <si>
    <r>
      <rPr>
        <b/>
        <sz val="7"/>
        <color rgb="FF548ED4"/>
        <rFont val="Calibri"/>
        <family val="1"/>
      </rPr>
      <t>MiR Hook 100 Covers</t>
    </r>
  </si>
  <si>
    <r>
      <rPr>
        <sz val="6.5"/>
        <rFont val="Calibri"/>
        <family val="1"/>
      </rPr>
      <t>Top Cover MiR Hook 100</t>
    </r>
  </si>
  <si>
    <r>
      <rPr>
        <sz val="6.5"/>
        <rFont val="Calibri"/>
        <family val="1"/>
      </rPr>
      <t>Hook back plate MiR Hook 100</t>
    </r>
  </si>
  <si>
    <r>
      <rPr>
        <b/>
        <sz val="7"/>
        <color rgb="FF548ED4"/>
        <rFont val="Calibri"/>
        <family val="1"/>
      </rPr>
      <t>MiR Hook 100 Misc</t>
    </r>
  </si>
  <si>
    <r>
      <rPr>
        <sz val="6.5"/>
        <rFont val="Calibri"/>
        <family val="1"/>
      </rPr>
      <t>USB for RS232 Converter</t>
    </r>
  </si>
  <si>
    <r>
      <rPr>
        <sz val="6.5"/>
        <rFont val="Calibri"/>
        <family val="1"/>
      </rPr>
      <t>Hook brake service kit</t>
    </r>
  </si>
  <si>
    <r>
      <rPr>
        <sz val="6.5"/>
        <rFont val="Calibri"/>
        <family val="1"/>
      </rPr>
      <t>Hook reinforcement kit</t>
    </r>
  </si>
  <si>
    <r>
      <rPr>
        <sz val="6.5"/>
        <rFont val="Calibri"/>
        <family val="1"/>
      </rPr>
      <t>USB cables for Camera</t>
    </r>
  </si>
  <si>
    <r>
      <rPr>
        <sz val="6.5"/>
        <rFont val="Calibri"/>
        <family val="1"/>
      </rPr>
      <t>Inner suspension for MIR Hook 100/200</t>
    </r>
  </si>
  <si>
    <r>
      <rPr>
        <sz val="6.5"/>
        <rFont val="Calibri"/>
        <family val="1"/>
      </rPr>
      <t xml:space="preserve">Hook interface
</t>
    </r>
    <r>
      <rPr>
        <sz val="6.5"/>
        <rFont val="Calibri"/>
        <family val="1"/>
      </rPr>
      <t>(top application port + network port+internal network cable)</t>
    </r>
  </si>
  <si>
    <r>
      <rPr>
        <sz val="6.5"/>
        <rFont val="Calibri"/>
        <family val="1"/>
      </rPr>
      <t>Screw for Hook brake, 5 pcs</t>
    </r>
  </si>
  <si>
    <r>
      <rPr>
        <sz val="6.5"/>
        <rFont val="Calibri"/>
        <family val="1"/>
      </rPr>
      <t>Angled USB cable for MiR Hook 100/200 camera</t>
    </r>
  </si>
  <si>
    <r>
      <rPr>
        <sz val="6.5"/>
        <rFont val="Calibri"/>
        <family val="1"/>
      </rPr>
      <t>Spindle &amp; clamp, MiRHook 100/200 assy</t>
    </r>
  </si>
  <si>
    <r>
      <rPr>
        <sz val="6.5"/>
        <rFont val="Calibri"/>
        <family val="1"/>
      </rPr>
      <t>Base frame segment, Hook MiR100/200</t>
    </r>
  </si>
  <si>
    <r>
      <rPr>
        <b/>
        <sz val="7"/>
        <color rgb="FF548ED4"/>
        <rFont val="Calibri"/>
        <family val="1"/>
      </rPr>
      <t>MiR200 Power</t>
    </r>
  </si>
  <si>
    <r>
      <rPr>
        <b/>
        <sz val="7"/>
        <color rgb="FF548ED4"/>
        <rFont val="Calibri"/>
        <family val="1"/>
      </rPr>
      <t>1.1.1</t>
    </r>
  </si>
  <si>
    <r>
      <rPr>
        <b/>
        <sz val="7"/>
        <color rgb="FF548ED4"/>
        <rFont val="Calibri"/>
        <family val="1"/>
      </rPr>
      <t>2.0.1</t>
    </r>
  </si>
  <si>
    <r>
      <rPr>
        <b/>
        <sz val="7"/>
        <color rgb="FF548ED4"/>
        <rFont val="Calibri"/>
        <family val="1"/>
      </rPr>
      <t>MiR200 Motor &amp; Wheels</t>
    </r>
  </si>
  <si>
    <r>
      <rPr>
        <sz val="6.5"/>
        <rFont val="Calibri"/>
        <family val="1"/>
      </rPr>
      <t>Motor with Left Bogie Kit MiR200</t>
    </r>
  </si>
  <si>
    <r>
      <rPr>
        <sz val="6.5"/>
        <rFont val="Calibri"/>
        <family val="1"/>
      </rPr>
      <t>Motor with Right Bogie Kit MiR200</t>
    </r>
  </si>
  <si>
    <r>
      <rPr>
        <sz val="6.5"/>
        <rFont val="Calibri"/>
        <family val="1"/>
      </rPr>
      <t>Motor &amp; gearing MiR200</t>
    </r>
  </si>
  <si>
    <r>
      <rPr>
        <sz val="6.5"/>
        <rFont val="Calibri"/>
        <family val="1"/>
      </rPr>
      <t>Caster Wheel ESD, 4 pcs</t>
    </r>
  </si>
  <si>
    <r>
      <rPr>
        <sz val="6.5"/>
        <rFont val="Calibri"/>
        <family val="1"/>
      </rPr>
      <t>Motor w. dual encoders MiR200</t>
    </r>
  </si>
  <si>
    <r>
      <rPr>
        <b/>
        <sz val="7"/>
        <color rgb="FF548ED4"/>
        <rFont val="Calibri"/>
        <family val="1"/>
      </rPr>
      <t>MiR200 Processing units</t>
    </r>
  </si>
  <si>
    <r>
      <rPr>
        <sz val="6.5"/>
        <rFont val="Calibri"/>
        <family val="1"/>
      </rPr>
      <t>Processing unit, MiR100/200</t>
    </r>
  </si>
  <si>
    <r>
      <rPr>
        <b/>
        <sz val="7"/>
        <color rgb="FF548ED4"/>
        <rFont val="Calibri"/>
        <family val="1"/>
      </rPr>
      <t>MiR200 Covers &amp; External parts</t>
    </r>
  </si>
  <si>
    <r>
      <rPr>
        <sz val="6.5"/>
        <rFont val="Calibri"/>
        <family val="1"/>
      </rPr>
      <t>Emergency Stop Cable, Power</t>
    </r>
  </si>
  <si>
    <r>
      <rPr>
        <sz val="6.5"/>
        <rFont val="Calibri"/>
        <family val="1"/>
      </rPr>
      <t>Front Cover MiR200</t>
    </r>
  </si>
  <si>
    <r>
      <rPr>
        <sz val="6.5"/>
        <rFont val="Calibri"/>
        <family val="1"/>
      </rPr>
      <t>Rear Cover MiR200</t>
    </r>
  </si>
  <si>
    <r>
      <rPr>
        <sz val="6.5"/>
        <rFont val="Calibri"/>
        <family val="1"/>
      </rPr>
      <t>Side Cover MiR200</t>
    </r>
  </si>
  <si>
    <r>
      <rPr>
        <sz val="6.5"/>
        <rFont val="Calibri"/>
        <family val="1"/>
      </rPr>
      <t>Top Cover MiR200</t>
    </r>
  </si>
  <si>
    <r>
      <rPr>
        <sz val="6.5"/>
        <rFont val="Calibri"/>
        <family val="1"/>
      </rPr>
      <t>Corner service bracket incl usb and hdmi</t>
    </r>
  </si>
  <si>
    <r>
      <rPr>
        <sz val="6.5"/>
        <rFont val="Calibri"/>
        <family val="1"/>
      </rPr>
      <t>Rear cover, extended battery, MiR200</t>
    </r>
  </si>
  <si>
    <r>
      <rPr>
        <b/>
        <sz val="7"/>
        <color rgb="FF548ED4"/>
        <rFont val="Calibri"/>
        <family val="1"/>
      </rPr>
      <t>MiR200 Sensors</t>
    </r>
  </si>
  <si>
    <r>
      <rPr>
        <sz val="6.5"/>
        <rFont val="Calibri"/>
        <family val="1"/>
      </rPr>
      <t>Camera upgrade kit MiR200</t>
    </r>
  </si>
  <si>
    <r>
      <rPr>
        <b/>
        <sz val="7"/>
        <color rgb="FF548ED4"/>
        <rFont val="Calibri"/>
        <family val="1"/>
      </rPr>
      <t>MiR200 Misc.</t>
    </r>
  </si>
  <si>
    <r>
      <rPr>
        <sz val="6.5"/>
        <rFont val="Calibri"/>
        <family val="1"/>
      </rPr>
      <t>Retro fit kit for router</t>
    </r>
  </si>
  <si>
    <r>
      <rPr>
        <sz val="6.5"/>
        <rFont val="Calibri"/>
        <family val="1"/>
      </rPr>
      <t>Fuse set, MiR100/200</t>
    </r>
  </si>
  <si>
    <r>
      <rPr>
        <sz val="6.5"/>
        <rFont val="Calibri"/>
        <family val="1"/>
      </rPr>
      <t>ESD wire and bracket inc. tape pad</t>
    </r>
  </si>
  <si>
    <r>
      <rPr>
        <sz val="6.5"/>
        <rFont val="Calibri"/>
        <family val="1"/>
      </rPr>
      <t>MiR100/200 Mounting kit for router</t>
    </r>
  </si>
  <si>
    <r>
      <rPr>
        <sz val="6.5"/>
        <rFont val="Calibri"/>
        <family val="1"/>
      </rPr>
      <t>ESD tail and bracket, MiR200/500/600/1350</t>
    </r>
  </si>
  <si>
    <r>
      <rPr>
        <sz val="6.5"/>
        <rFont val="Calibri"/>
        <family val="1"/>
      </rPr>
      <t>Replacement box Extend. capacity battery MiR200 HW3.0</t>
    </r>
  </si>
  <si>
    <r>
      <rPr>
        <sz val="6.5"/>
        <rFont val="Calibri"/>
        <family val="1"/>
      </rPr>
      <t>Replacement box Extend. capacity battery MiR200 HW 5.0</t>
    </r>
  </si>
  <si>
    <r>
      <rPr>
        <sz val="6.5"/>
        <rFont val="Calibri"/>
        <family val="1"/>
      </rPr>
      <t>Replacement box Extend. capacity battery MiR200 HW v.1.0-1.1</t>
    </r>
  </si>
  <si>
    <r>
      <rPr>
        <sz val="6.5"/>
        <rFont val="Calibri"/>
        <family val="1"/>
      </rPr>
      <t>Replacement box Extend. capacity battery MiR200 HW v.1.1-2.0</t>
    </r>
  </si>
  <si>
    <r>
      <rPr>
        <b/>
        <sz val="7"/>
        <color rgb="FF548ED4"/>
        <rFont val="Calibri"/>
        <family val="1"/>
      </rPr>
      <t>MiR Hook 200 Power</t>
    </r>
  </si>
  <si>
    <r>
      <rPr>
        <b/>
        <sz val="7"/>
        <color rgb="FF548ED4"/>
        <rFont val="Calibri"/>
        <family val="1"/>
      </rPr>
      <t>1.3.1</t>
    </r>
  </si>
  <si>
    <r>
      <rPr>
        <b/>
        <sz val="7"/>
        <color rgb="FF548ED4"/>
        <rFont val="Calibri"/>
        <family val="1"/>
      </rPr>
      <t>MiR Hook 200 Sensors</t>
    </r>
  </si>
  <si>
    <r>
      <rPr>
        <sz val="6.5"/>
        <rFont val="Calibri"/>
        <family val="1"/>
      </rPr>
      <t>Camera upgrade kit MiR Hook 200</t>
    </r>
  </si>
  <si>
    <r>
      <rPr>
        <b/>
        <sz val="7"/>
        <color rgb="FF548ED4"/>
        <rFont val="Calibri"/>
        <family val="1"/>
      </rPr>
      <t>MiR Hook 200 Motors</t>
    </r>
  </si>
  <si>
    <r>
      <rPr>
        <b/>
        <sz val="7"/>
        <color rgb="FF548ED4"/>
        <rFont val="Calibri"/>
        <family val="1"/>
      </rPr>
      <t>MiR Hook 200 Processing units</t>
    </r>
  </si>
  <si>
    <r>
      <rPr>
        <b/>
        <sz val="7"/>
        <color rgb="FF548ED4"/>
        <rFont val="Calibri"/>
        <family val="1"/>
      </rPr>
      <t>MiR Hook 200 Covers</t>
    </r>
  </si>
  <si>
    <r>
      <rPr>
        <sz val="6.5"/>
        <rFont val="Calibri"/>
        <family val="1"/>
      </rPr>
      <t>Top Cover MiR Hook 200</t>
    </r>
  </si>
  <si>
    <r>
      <rPr>
        <sz val="6.5"/>
        <rFont val="Calibri"/>
        <family val="1"/>
      </rPr>
      <t>Hook back plate MiR Hook 200</t>
    </r>
  </si>
  <si>
    <r>
      <rPr>
        <b/>
        <sz val="7"/>
        <color rgb="FF548ED4"/>
        <rFont val="Calibri"/>
        <family val="1"/>
      </rPr>
      <t>MiR Hook 200 Misc</t>
    </r>
  </si>
  <si>
    <r>
      <rPr>
        <b/>
        <sz val="7"/>
        <color rgb="FF548ED4"/>
        <rFont val="Calibri"/>
        <family val="1"/>
      </rPr>
      <t>MiR250 Electrics</t>
    </r>
  </si>
  <si>
    <r>
      <rPr>
        <b/>
        <sz val="7"/>
        <color rgb="FF548ED4"/>
        <rFont val="Calibri"/>
        <family val="1"/>
      </rPr>
      <t>HW 2.0</t>
    </r>
  </si>
  <si>
    <r>
      <rPr>
        <sz val="6.5"/>
        <rFont val="Calibri"/>
        <family val="1"/>
      </rPr>
      <t>Safe stop relay MiR250</t>
    </r>
  </si>
  <si>
    <r>
      <rPr>
        <sz val="6.5"/>
        <rFont val="Calibri"/>
        <family val="1"/>
      </rPr>
      <t>Power Board MiR250</t>
    </r>
  </si>
  <si>
    <r>
      <rPr>
        <sz val="6.5"/>
        <rFont val="Calibri"/>
        <family val="1"/>
      </rPr>
      <t>Carrier Board MiR250 HW 1.0</t>
    </r>
  </si>
  <si>
    <r>
      <rPr>
        <sz val="6.5"/>
        <rFont val="Calibri"/>
        <family val="1"/>
      </rPr>
      <t>Status light short MiR250</t>
    </r>
  </si>
  <si>
    <r>
      <rPr>
        <sz val="6.5"/>
        <rFont val="Calibri"/>
        <family val="1"/>
      </rPr>
      <t>Status light long MiR250</t>
    </r>
  </si>
  <si>
    <r>
      <rPr>
        <sz val="6.5"/>
        <rFont val="Calibri"/>
        <family val="1"/>
      </rPr>
      <t>Signal light mini MiR250</t>
    </r>
  </si>
  <si>
    <r>
      <rPr>
        <sz val="6.5"/>
        <rFont val="Calibri"/>
        <family val="1"/>
      </rPr>
      <t>Safety PLC MiR250</t>
    </r>
  </si>
  <si>
    <r>
      <rPr>
        <sz val="6.5"/>
        <rFont val="Calibri"/>
        <family val="1"/>
      </rPr>
      <t>Button interface assembled MiR250</t>
    </r>
  </si>
  <si>
    <r>
      <rPr>
        <sz val="6.5"/>
        <rFont val="Calibri"/>
        <family val="1"/>
      </rPr>
      <t>System plug front MiR250</t>
    </r>
  </si>
  <si>
    <r>
      <rPr>
        <sz val="6.5"/>
        <rFont val="Calibri"/>
        <family val="1"/>
      </rPr>
      <t>System plug rear MiR250</t>
    </r>
  </si>
  <si>
    <r>
      <rPr>
        <sz val="6.5"/>
        <rFont val="Calibri"/>
        <family val="1"/>
      </rPr>
      <t>Ethernet cable, PLC MiR250</t>
    </r>
  </si>
  <si>
    <r>
      <rPr>
        <sz val="6.5"/>
        <rFont val="Calibri"/>
        <family val="1"/>
      </rPr>
      <t>Carrier board MiR250 HW 2.0</t>
    </r>
  </si>
  <si>
    <r>
      <rPr>
        <b/>
        <sz val="7"/>
        <color rgb="FF548ED4"/>
        <rFont val="Calibri"/>
        <family val="1"/>
      </rPr>
      <t>MiR250 Motors &amp; Wheels</t>
    </r>
  </si>
  <si>
    <r>
      <rPr>
        <sz val="6.5"/>
        <rFont val="Calibri"/>
        <family val="1"/>
      </rPr>
      <t>Drive wheel MiR250, 2 pcs</t>
    </r>
  </si>
  <si>
    <r>
      <rPr>
        <sz val="6.5"/>
        <rFont val="Calibri"/>
        <family val="1"/>
      </rPr>
      <t>Caster wheel MiR250, 4 pcs</t>
    </r>
  </si>
  <si>
    <r>
      <rPr>
        <sz val="6.5"/>
        <rFont val="Calibri"/>
        <family val="1"/>
      </rPr>
      <t>Drivewheels and Casterwheels, MiR250</t>
    </r>
  </si>
  <si>
    <r>
      <rPr>
        <sz val="6.5"/>
        <rFont val="Calibri"/>
        <family val="1"/>
      </rPr>
      <t>Left Bogie MiR250</t>
    </r>
  </si>
  <si>
    <r>
      <rPr>
        <sz val="6.5"/>
        <rFont val="Calibri"/>
        <family val="1"/>
      </rPr>
      <t>Right Bogie MiR250</t>
    </r>
  </si>
  <si>
    <r>
      <rPr>
        <sz val="6.5"/>
        <rFont val="Calibri"/>
        <family val="1"/>
      </rPr>
      <t>Right Weighted Bogie MiR250</t>
    </r>
  </si>
  <si>
    <r>
      <rPr>
        <sz val="6.5"/>
        <rFont val="Calibri"/>
        <family val="1"/>
      </rPr>
      <t>Left weighted bogie MiR250</t>
    </r>
  </si>
  <si>
    <r>
      <rPr>
        <b/>
        <sz val="7"/>
        <color rgb="FF548ED4"/>
        <rFont val="Calibri"/>
        <family val="1"/>
      </rPr>
      <t>MiR250 Power</t>
    </r>
  </si>
  <si>
    <r>
      <rPr>
        <sz val="6.5"/>
        <rFont val="Calibri"/>
        <family val="1"/>
      </rPr>
      <t>Charging pad assembly MiR250</t>
    </r>
  </si>
  <si>
    <r>
      <rPr>
        <sz val="6.5"/>
        <rFont val="Calibri"/>
        <family val="1"/>
      </rPr>
      <t>SICK stack, MiR250 HW 2.0</t>
    </r>
  </si>
  <si>
    <r>
      <rPr>
        <sz val="6.5"/>
        <rFont val="Calibri"/>
        <family val="1"/>
      </rPr>
      <t>STO relays, K1+K2, MiR250 HW 2.0</t>
    </r>
  </si>
  <si>
    <r>
      <rPr>
        <b/>
        <sz val="7"/>
        <color rgb="FF548ED4"/>
        <rFont val="Calibri"/>
        <family val="1"/>
      </rPr>
      <t>MiR250 Processing Units</t>
    </r>
  </si>
  <si>
    <r>
      <rPr>
        <sz val="6.5"/>
        <rFont val="Calibri"/>
        <family val="1"/>
      </rPr>
      <t>Robot computer, MiR250 HW 2.0</t>
    </r>
  </si>
  <si>
    <r>
      <rPr>
        <b/>
        <sz val="7"/>
        <color rgb="FF548ED4"/>
        <rFont val="Calibri"/>
        <family val="1"/>
      </rPr>
      <t>MiR250 Covers &amp; External Parts</t>
    </r>
  </si>
  <si>
    <r>
      <rPr>
        <sz val="6.5"/>
        <rFont val="Calibri"/>
        <family val="1"/>
      </rPr>
      <t>ESD Rear Cover ESD MiR250</t>
    </r>
  </si>
  <si>
    <r>
      <rPr>
        <sz val="6.5"/>
        <rFont val="Calibri"/>
        <family val="1"/>
      </rPr>
      <t>ESD Front Cover MiR250</t>
    </r>
  </si>
  <si>
    <r>
      <rPr>
        <sz val="6.5"/>
        <rFont val="Calibri"/>
        <family val="1"/>
      </rPr>
      <t>ESD Side Cover ESD MiR250</t>
    </r>
  </si>
  <si>
    <r>
      <rPr>
        <sz val="6.5"/>
        <rFont val="Calibri"/>
        <family val="1"/>
      </rPr>
      <t>Rear Cover MiR250</t>
    </r>
  </si>
  <si>
    <r>
      <rPr>
        <sz val="6.5"/>
        <rFont val="Calibri"/>
        <family val="1"/>
      </rPr>
      <t>Front Cover MiR250</t>
    </r>
  </si>
  <si>
    <r>
      <rPr>
        <sz val="6.5"/>
        <rFont val="Calibri"/>
        <family val="1"/>
      </rPr>
      <t>Side Cover MiR250</t>
    </r>
  </si>
  <si>
    <r>
      <rPr>
        <sz val="6.5"/>
        <rFont val="Calibri"/>
        <family val="1"/>
      </rPr>
      <t>Top Plate MiR250</t>
    </r>
  </si>
  <si>
    <r>
      <rPr>
        <sz val="6.5"/>
        <rFont val="Calibri"/>
        <family val="1"/>
      </rPr>
      <t>Antenna 2.4/5.0 GHz Dipole MiR250</t>
    </r>
  </si>
  <si>
    <r>
      <rPr>
        <sz val="6.5"/>
        <rFont val="Calibri"/>
        <family val="1"/>
      </rPr>
      <t>Corner Bumper MiR250, 1 pcs</t>
    </r>
  </si>
  <si>
    <r>
      <rPr>
        <sz val="6.5"/>
        <rFont val="Calibri"/>
        <family val="1"/>
      </rPr>
      <t>Cover Clip MiR250, 32 pcs</t>
    </r>
  </si>
  <si>
    <r>
      <rPr>
        <sz val="6.5"/>
        <rFont val="Calibri"/>
        <family val="1"/>
      </rPr>
      <t>Front crash brackets, MiR250</t>
    </r>
  </si>
  <si>
    <r>
      <rPr>
        <sz val="6.5"/>
        <rFont val="Calibri"/>
        <family val="1"/>
      </rPr>
      <t>Top interface assembled (GPIO), MiR250 HW 2.0</t>
    </r>
  </si>
  <si>
    <r>
      <rPr>
        <sz val="6.5"/>
        <rFont val="Calibri"/>
        <family val="1"/>
      </rPr>
      <t>GPIO Module, MiR250HW1.0/MiR600/1350</t>
    </r>
  </si>
  <si>
    <r>
      <rPr>
        <sz val="6.5"/>
        <rFont val="Calibri"/>
        <family val="1"/>
      </rPr>
      <t>CAB057-CAB060, MiR250</t>
    </r>
  </si>
  <si>
    <r>
      <rPr>
        <sz val="6.5"/>
        <rFont val="Calibri"/>
        <family val="1"/>
      </rPr>
      <t>Battery connection handle, MiR250</t>
    </r>
  </si>
  <si>
    <r>
      <rPr>
        <sz val="6.5"/>
        <rFont val="Calibri"/>
        <family val="1"/>
      </rPr>
      <t>MiR250 corner buttons &amp; key switch kit</t>
    </r>
  </si>
  <si>
    <r>
      <rPr>
        <b/>
        <sz val="7"/>
        <color rgb="FF548ED4"/>
        <rFont val="Calibri"/>
        <family val="1"/>
      </rPr>
      <t>MiR250 Sensors</t>
    </r>
  </si>
  <si>
    <r>
      <rPr>
        <sz val="6.5"/>
        <rFont val="Calibri"/>
        <family val="1"/>
      </rPr>
      <t>Proximity board</t>
    </r>
  </si>
  <si>
    <r>
      <rPr>
        <sz val="6.5"/>
        <rFont val="Calibri"/>
        <family val="1"/>
      </rPr>
      <t>Camera MiR250</t>
    </r>
  </si>
  <si>
    <r>
      <rPr>
        <sz val="6.5"/>
        <rFont val="Calibri"/>
        <family val="1"/>
      </rPr>
      <t>Nanoscan front/rear MiR250</t>
    </r>
  </si>
  <si>
    <r>
      <rPr>
        <sz val="6.5"/>
        <rFont val="Calibri"/>
        <family val="1"/>
      </rPr>
      <t>Proximity Signal Light Cable package, MiR250</t>
    </r>
  </si>
  <si>
    <r>
      <rPr>
        <sz val="6.5"/>
        <rFont val="Calibri"/>
        <family val="1"/>
      </rPr>
      <t>Proximity board, MiR250 HW2</t>
    </r>
  </si>
  <si>
    <r>
      <rPr>
        <b/>
        <sz val="7"/>
        <color rgb="FF548ED4"/>
        <rFont val="Calibri"/>
        <family val="1"/>
      </rPr>
      <t>MiR250 Misc.</t>
    </r>
  </si>
  <si>
    <r>
      <rPr>
        <sz val="6.5"/>
        <rFont val="Calibri"/>
        <family val="1"/>
      </rPr>
      <t>Giteki Router kit MiR250</t>
    </r>
  </si>
  <si>
    <r>
      <rPr>
        <sz val="6.5"/>
        <rFont val="Calibri"/>
        <family val="1"/>
      </rPr>
      <t>Top plate bushing, 4 pcs</t>
    </r>
  </si>
  <si>
    <r>
      <rPr>
        <sz val="6.5"/>
        <rFont val="Calibri"/>
        <family val="1"/>
      </rPr>
      <t>MiR250, AUX safety dummy plugs</t>
    </r>
  </si>
  <si>
    <r>
      <rPr>
        <sz val="6.5"/>
        <rFont val="Calibri"/>
        <family val="1"/>
      </rPr>
      <t>MiR250 CAB-53, key switch</t>
    </r>
  </si>
  <si>
    <r>
      <rPr>
        <sz val="6.5"/>
        <rFont val="Calibri"/>
        <family val="1"/>
      </rPr>
      <t>Antenna cables MiR250</t>
    </r>
  </si>
  <si>
    <r>
      <rPr>
        <sz val="6.5"/>
        <rFont val="Calibri"/>
        <family val="1"/>
      </rPr>
      <t>Battery, MiR250/600/1350</t>
    </r>
  </si>
  <si>
    <r>
      <rPr>
        <sz val="6.5"/>
        <rFont val="Calibri"/>
        <family val="1"/>
      </rPr>
      <t>CAB036 - MOC to Motorboard</t>
    </r>
  </si>
  <si>
    <r>
      <rPr>
        <sz val="6.5"/>
        <rFont val="Calibri"/>
        <family val="1"/>
      </rPr>
      <t>Turn button brake release, MIR250</t>
    </r>
  </si>
  <si>
    <r>
      <rPr>
        <sz val="6.5"/>
        <rFont val="Calibri"/>
        <family val="1"/>
      </rPr>
      <t>Complete button corner, MiR250 HW 1.0</t>
    </r>
  </si>
  <si>
    <r>
      <rPr>
        <sz val="6.5"/>
        <rFont val="Calibri"/>
        <family val="1"/>
      </rPr>
      <t>Complete button corner MiR250 HW 2.0</t>
    </r>
  </si>
  <si>
    <r>
      <rPr>
        <sz val="6.5"/>
        <rFont val="Calibri"/>
        <family val="1"/>
      </rPr>
      <t>MiR250 Speaker</t>
    </r>
  </si>
  <si>
    <r>
      <rPr>
        <sz val="6.5"/>
        <rFont val="Calibri"/>
        <family val="1"/>
      </rPr>
      <t>Cables for camera MiR250</t>
    </r>
  </si>
  <si>
    <r>
      <rPr>
        <sz val="6.5"/>
        <rFont val="Calibri"/>
        <family val="1"/>
      </rPr>
      <t>Conversion kit MiR250 Shelf Carrier to MiR250</t>
    </r>
  </si>
  <si>
    <r>
      <rPr>
        <sz val="6.5"/>
        <rFont val="Calibri"/>
        <family val="1"/>
      </rPr>
      <t>DFI bracket, MiR250</t>
    </r>
  </si>
  <si>
    <r>
      <rPr>
        <sz val="6.5"/>
        <rFont val="Calibri"/>
        <family val="1"/>
      </rPr>
      <t>Cable, Service port to switch, MiR250 HW 2.0</t>
    </r>
  </si>
  <si>
    <r>
      <rPr>
        <sz val="6.5"/>
        <rFont val="Calibri"/>
        <family val="1"/>
      </rPr>
      <t>CAB037-CAB038, MiR250</t>
    </r>
  </si>
  <si>
    <r>
      <rPr>
        <sz val="6.5"/>
        <rFont val="Calibri"/>
        <family val="1"/>
      </rPr>
      <t>Service ETH port, MiR250 HW 2.0</t>
    </r>
  </si>
  <si>
    <r>
      <rPr>
        <sz val="6.5"/>
        <rFont val="Calibri"/>
        <family val="1"/>
      </rPr>
      <t>Harness, Main, HARN-001, MiR250 HW2.0</t>
    </r>
  </si>
  <si>
    <r>
      <rPr>
        <sz val="6.5"/>
        <rFont val="Calibri"/>
        <family val="1"/>
      </rPr>
      <t>Packaging, MiR250</t>
    </r>
  </si>
  <si>
    <r>
      <rPr>
        <b/>
        <sz val="7"/>
        <color rgb="FF548ED4"/>
        <rFont val="Calibri"/>
        <family val="1"/>
      </rPr>
      <t>MiR250 Lift application</t>
    </r>
  </si>
  <si>
    <r>
      <rPr>
        <sz val="6.5"/>
        <rFont val="Calibri"/>
        <family val="1"/>
      </rPr>
      <t>Antenna cable for MiR250 lift, long</t>
    </r>
  </si>
  <si>
    <r>
      <rPr>
        <sz val="6.5"/>
        <rFont val="Calibri"/>
        <family val="1"/>
      </rPr>
      <t>Actuator and brackets, MiR250 Shelf Carrier</t>
    </r>
  </si>
  <si>
    <r>
      <rPr>
        <sz val="6.5"/>
        <rFont val="Calibri"/>
        <family val="1"/>
      </rPr>
      <t>Electrical harness incl. relays and end switches, MiR250 Shelf Carrier</t>
    </r>
  </si>
  <si>
    <r>
      <rPr>
        <sz val="6.5"/>
        <rFont val="Calibri"/>
        <family val="1"/>
      </rPr>
      <t>Pin engagement mechanism, MiR250 Shelf Carrier</t>
    </r>
  </si>
  <si>
    <r>
      <rPr>
        <sz val="6.5"/>
        <rFont val="Calibri"/>
        <family val="1"/>
      </rPr>
      <t>E-Stop harness incl. buttons, MiR250 Shelf Carrier</t>
    </r>
  </si>
  <si>
    <r>
      <rPr>
        <sz val="6.5"/>
        <rFont val="Calibri"/>
        <family val="1"/>
      </rPr>
      <t>Set of panels, MiR250 ESD lift</t>
    </r>
  </si>
  <si>
    <r>
      <rPr>
        <sz val="6.5"/>
        <rFont val="Calibri"/>
        <family val="1"/>
      </rPr>
      <t>Retrofit kit, MiR250 lift</t>
    </r>
  </si>
  <si>
    <r>
      <rPr>
        <b/>
        <sz val="7"/>
        <color rgb="FF548ED4"/>
        <rFont val="Calibri"/>
        <family val="1"/>
      </rPr>
      <t>MiR Hook 250 Power</t>
    </r>
  </si>
  <si>
    <r>
      <rPr>
        <sz val="6.5"/>
        <rFont val="Calibri"/>
        <family val="1"/>
      </rPr>
      <t>Emergency cable MiR Hook 250</t>
    </r>
  </si>
  <si>
    <r>
      <rPr>
        <b/>
        <sz val="7"/>
        <color rgb="FF548ED4"/>
        <rFont val="Calibri"/>
        <family val="1"/>
      </rPr>
      <t>MiR Hook 250 sensors</t>
    </r>
  </si>
  <si>
    <r>
      <rPr>
        <sz val="6.5"/>
        <rFont val="Calibri"/>
        <family val="1"/>
      </rPr>
      <t>NanoScan glass cover, MiR250</t>
    </r>
  </si>
  <si>
    <r>
      <rPr>
        <b/>
        <sz val="7"/>
        <color rgb="FF548ED4"/>
        <rFont val="Calibri"/>
        <family val="1"/>
      </rPr>
      <t>MiR Hook 250 Motors</t>
    </r>
  </si>
  <si>
    <r>
      <rPr>
        <sz val="6.5"/>
        <rFont val="Calibri"/>
        <family val="1"/>
      </rPr>
      <t>Actuator, short, MiRHook250</t>
    </r>
  </si>
  <si>
    <r>
      <rPr>
        <sz val="6.5"/>
        <rFont val="Calibri"/>
        <family val="1"/>
      </rPr>
      <t>Grippers, Hook MiR250</t>
    </r>
  </si>
  <si>
    <r>
      <rPr>
        <b/>
        <sz val="7"/>
        <color rgb="FF548ED4"/>
        <rFont val="Calibri"/>
        <family val="1"/>
      </rPr>
      <t>MiR Hook 250 Processing units</t>
    </r>
  </si>
  <si>
    <r>
      <rPr>
        <sz val="6.5"/>
        <rFont val="Calibri"/>
        <family val="1"/>
      </rPr>
      <t>Processing unit, MiR Hook 250</t>
    </r>
  </si>
  <si>
    <r>
      <rPr>
        <b/>
        <sz val="7"/>
        <color rgb="FF548ED4"/>
        <rFont val="Calibri"/>
        <family val="1"/>
      </rPr>
      <t>MiR Hook 250 covers</t>
    </r>
  </si>
  <si>
    <r>
      <rPr>
        <sz val="6.5"/>
        <rFont val="Calibri"/>
        <family val="1"/>
      </rPr>
      <t>Front cover MiR Hook 250</t>
    </r>
  </si>
  <si>
    <r>
      <rPr>
        <sz val="6.5"/>
        <rFont val="Calibri"/>
        <family val="1"/>
      </rPr>
      <t>Rear cover MiR Hook 250</t>
    </r>
  </si>
  <si>
    <r>
      <rPr>
        <b/>
        <sz val="7"/>
        <color rgb="FF548ED4"/>
        <rFont val="Calibri"/>
        <family val="1"/>
      </rPr>
      <t>MiR Hook 250 misc</t>
    </r>
  </si>
  <si>
    <r>
      <rPr>
        <sz val="6.5"/>
        <rFont val="Calibri"/>
        <family val="1"/>
      </rPr>
      <t>Packaging MiR250 Hook</t>
    </r>
  </si>
  <si>
    <r>
      <rPr>
        <b/>
        <sz val="7"/>
        <color rgb="FF548ED4"/>
        <rFont val="Calibri"/>
        <family val="1"/>
      </rPr>
      <t>MiR500 Power</t>
    </r>
  </si>
  <si>
    <r>
      <rPr>
        <sz val="6.5"/>
        <rFont val="Calibri"/>
        <family val="1"/>
      </rPr>
      <t>Signal connector, two middle charging panels</t>
    </r>
  </si>
  <si>
    <r>
      <rPr>
        <sz val="6.5"/>
        <rFont val="Calibri"/>
        <family val="1"/>
      </rPr>
      <t>Charging connector, left and rightmost charging panel</t>
    </r>
  </si>
  <si>
    <r>
      <rPr>
        <sz val="6.5"/>
        <rFont val="Calibri"/>
        <family val="1"/>
      </rPr>
      <t>Battery, MiR500/1000</t>
    </r>
  </si>
  <si>
    <r>
      <rPr>
        <sz val="6.5"/>
        <rFont val="Calibri"/>
        <family val="1"/>
      </rPr>
      <t>Charging Plate Assembly, MiR500/1000</t>
    </r>
  </si>
  <si>
    <r>
      <rPr>
        <b/>
        <sz val="7"/>
        <color rgb="FF548ED4"/>
        <rFont val="Calibri"/>
        <family val="1"/>
      </rPr>
      <t>MiR500 Motors &amp; Wheels</t>
    </r>
  </si>
  <si>
    <r>
      <rPr>
        <sz val="6.5"/>
        <rFont val="Calibri"/>
        <family val="1"/>
      </rPr>
      <t>Drive Wheels, 2 pcs</t>
    </r>
  </si>
  <si>
    <r>
      <rPr>
        <sz val="6.5"/>
        <rFont val="Calibri"/>
        <family val="1"/>
      </rPr>
      <t>Brake Automatic Relay 25A</t>
    </r>
  </si>
  <si>
    <r>
      <rPr>
        <sz val="6.5"/>
        <rFont val="Calibri"/>
        <family val="1"/>
      </rPr>
      <t>Brake Safety Relay 24V</t>
    </r>
  </si>
  <si>
    <r>
      <rPr>
        <sz val="6.5"/>
        <rFont val="Calibri"/>
        <family val="1"/>
      </rPr>
      <t>Motor upgrade kit MiR500</t>
    </r>
  </si>
  <si>
    <r>
      <rPr>
        <sz val="6.5"/>
        <rFont val="Calibri"/>
        <family val="1"/>
      </rPr>
      <t>Complete right Bogie for MiR500</t>
    </r>
  </si>
  <si>
    <r>
      <rPr>
        <sz val="6.5"/>
        <rFont val="Calibri"/>
        <family val="1"/>
      </rPr>
      <t>Complete left Bogie for MiR500</t>
    </r>
  </si>
  <si>
    <r>
      <rPr>
        <sz val="6.5"/>
        <rFont val="Calibri"/>
        <family val="1"/>
      </rPr>
      <t>Motor Controller board MiR500/MiR1000</t>
    </r>
  </si>
  <si>
    <r>
      <rPr>
        <sz val="6.5"/>
        <rFont val="Calibri"/>
        <family val="1"/>
      </rPr>
      <t>Wheel kit, MiR500, design B</t>
    </r>
  </si>
  <si>
    <r>
      <rPr>
        <sz val="6.5"/>
        <rFont val="Calibri"/>
        <family val="1"/>
      </rPr>
      <t>Wheel kit, MiR500/1000, design C</t>
    </r>
  </si>
  <si>
    <r>
      <rPr>
        <sz val="6.5"/>
        <rFont val="Calibri"/>
        <family val="1"/>
      </rPr>
      <t>Bogie rear, MiR1000/1350</t>
    </r>
  </si>
  <si>
    <r>
      <rPr>
        <sz val="6.5"/>
        <rFont val="Calibri"/>
        <family val="1"/>
      </rPr>
      <t>Drivewheels and Casterwheels, MiR500/MiR600</t>
    </r>
  </si>
  <si>
    <r>
      <rPr>
        <b/>
        <sz val="7"/>
        <color rgb="FF548ED4"/>
        <rFont val="Calibri"/>
        <family val="1"/>
      </rPr>
      <t>MiR500 Processing units</t>
    </r>
  </si>
  <si>
    <r>
      <rPr>
        <sz val="6.5"/>
        <rFont val="Calibri"/>
        <family val="1"/>
      </rPr>
      <t>Power Board</t>
    </r>
  </si>
  <si>
    <r>
      <rPr>
        <b/>
        <sz val="7"/>
        <color rgb="FF548ED4"/>
        <rFont val="Calibri"/>
        <family val="1"/>
      </rPr>
      <t>MiR500 Sensors</t>
    </r>
  </si>
  <si>
    <r>
      <rPr>
        <sz val="6.5"/>
        <rFont val="Calibri"/>
        <family val="1"/>
      </rPr>
      <t>SICK Scanner MicroScan 3 EFI-Pro</t>
    </r>
  </si>
  <si>
    <r>
      <rPr>
        <sz val="6.5"/>
        <rFont val="Calibri"/>
        <family val="1"/>
      </rPr>
      <t>SICK Module EFI-Pro Gateway</t>
    </r>
  </si>
  <si>
    <r>
      <rPr>
        <sz val="6.5"/>
        <rFont val="Calibri"/>
        <family val="1"/>
      </rPr>
      <t>SICK Module Motion</t>
    </r>
  </si>
  <si>
    <r>
      <rPr>
        <sz val="6.5"/>
        <rFont val="Calibri"/>
        <family val="1"/>
      </rPr>
      <t>SICK Module Controller</t>
    </r>
  </si>
  <si>
    <r>
      <rPr>
        <sz val="6.5"/>
        <rFont val="Calibri"/>
        <family val="1"/>
      </rPr>
      <t>Frontglas, Microscan3</t>
    </r>
  </si>
  <si>
    <r>
      <rPr>
        <sz val="6.5"/>
        <rFont val="Calibri"/>
        <family val="1"/>
      </rPr>
      <t>Ultrasound Proximity Board</t>
    </r>
  </si>
  <si>
    <r>
      <rPr>
        <b/>
        <sz val="7"/>
        <color rgb="FF548ED4"/>
        <rFont val="Calibri"/>
        <family val="1"/>
      </rPr>
      <t>MiR500 Covers &amp; External parts</t>
    </r>
  </si>
  <si>
    <r>
      <rPr>
        <sz val="6.5"/>
        <rFont val="Calibri"/>
        <family val="1"/>
      </rPr>
      <t>Top Cover Plate</t>
    </r>
  </si>
  <si>
    <r>
      <rPr>
        <sz val="6.5"/>
        <rFont val="Calibri"/>
        <family val="1"/>
      </rPr>
      <t>Corner Cover SICK Front or Back</t>
    </r>
  </si>
  <si>
    <r>
      <rPr>
        <sz val="6.5"/>
        <rFont val="Calibri"/>
        <family val="1"/>
      </rPr>
      <t>Corner Cover Left Back</t>
    </r>
  </si>
  <si>
    <r>
      <rPr>
        <sz val="6.5"/>
        <rFont val="Calibri"/>
        <family val="1"/>
      </rPr>
      <t>Corner Cover Front Right</t>
    </r>
  </si>
  <si>
    <r>
      <rPr>
        <sz val="6.5"/>
        <rFont val="Calibri"/>
        <family val="1"/>
      </rPr>
      <t>Plastic Cover for 3D cameras</t>
    </r>
  </si>
  <si>
    <r>
      <rPr>
        <sz val="6.5"/>
        <rFont val="Calibri"/>
        <family val="1"/>
      </rPr>
      <t>Anti Slip Pad for Top Cover Plate, 9 pcs</t>
    </r>
  </si>
  <si>
    <r>
      <rPr>
        <sz val="6.5"/>
        <rFont val="Calibri"/>
        <family val="1"/>
      </rPr>
      <t>Top hatch, 2 pcs</t>
    </r>
  </si>
  <si>
    <r>
      <rPr>
        <sz val="6.5"/>
        <rFont val="Calibri"/>
        <family val="1"/>
      </rPr>
      <t>Emergency Button w Bracket (Right Front/Left Back)</t>
    </r>
  </si>
  <si>
    <r>
      <rPr>
        <sz val="6.5"/>
        <rFont val="Calibri"/>
        <family val="1"/>
      </rPr>
      <t>Emergency Button w Bracket (Right Back/Left Front)</t>
    </r>
  </si>
  <si>
    <r>
      <rPr>
        <sz val="6.5"/>
        <rFont val="Calibri"/>
        <family val="1"/>
      </rPr>
      <t>Front Hatch MiR500</t>
    </r>
  </si>
  <si>
    <r>
      <rPr>
        <sz val="6.5"/>
        <rFont val="Calibri"/>
        <family val="1"/>
      </rPr>
      <t>Rear Hatch MiR500</t>
    </r>
  </si>
  <si>
    <r>
      <rPr>
        <sz val="6.5"/>
        <rFont val="Calibri"/>
        <family val="1"/>
      </rPr>
      <t>Hatch side with logo MiR500</t>
    </r>
  </si>
  <si>
    <r>
      <rPr>
        <sz val="6.5"/>
        <rFont val="Calibri"/>
        <family val="1"/>
      </rPr>
      <t>Square anti skid-pack A4 size, 4 pcs</t>
    </r>
  </si>
  <si>
    <r>
      <rPr>
        <sz val="6.5"/>
        <rFont val="Calibri"/>
        <family val="1"/>
      </rPr>
      <t>Long anti skid-pack A4 size, 4 pcs</t>
    </r>
  </si>
  <si>
    <r>
      <rPr>
        <sz val="6.5"/>
        <rFont val="Calibri"/>
        <family val="1"/>
      </rPr>
      <t>Complete bumper kit, MiR500/600/1000/1350</t>
    </r>
  </si>
  <si>
    <r>
      <rPr>
        <sz val="6.5"/>
        <rFont val="Calibri"/>
        <family val="1"/>
      </rPr>
      <t>LED-band kit for MiR500/MiR1000</t>
    </r>
  </si>
  <si>
    <r>
      <rPr>
        <sz val="6.5"/>
        <rFont val="Calibri"/>
        <family val="1"/>
      </rPr>
      <t>Tray cover MiR500/1000</t>
    </r>
  </si>
  <si>
    <r>
      <rPr>
        <sz val="6.5"/>
        <rFont val="Calibri"/>
        <family val="1"/>
      </rPr>
      <t>LED strip long inc. alu rail</t>
    </r>
  </si>
  <si>
    <r>
      <rPr>
        <sz val="6.5"/>
        <rFont val="Calibri"/>
        <family val="1"/>
      </rPr>
      <t>Manual brake release, MiR500/1000</t>
    </r>
  </si>
  <si>
    <r>
      <rPr>
        <b/>
        <sz val="7"/>
        <color rgb="FF548ED4"/>
        <rFont val="Calibri"/>
        <family val="1"/>
      </rPr>
      <t>MiR500 Misc</t>
    </r>
  </si>
  <si>
    <r>
      <rPr>
        <sz val="6.5"/>
        <rFont val="Calibri"/>
        <family val="1"/>
      </rPr>
      <t>Giteki Router Kit MiR500/1000</t>
    </r>
  </si>
  <si>
    <r>
      <rPr>
        <sz val="6.5"/>
        <rFont val="Calibri"/>
        <family val="1"/>
      </rPr>
      <t>Complete Signal Light Board</t>
    </r>
  </si>
  <si>
    <r>
      <rPr>
        <sz val="6.5"/>
        <rFont val="Calibri"/>
        <family val="1"/>
      </rPr>
      <t>Mini Antenna 2.4/5GHz, 2/5db, IP65, 2 pcs</t>
    </r>
  </si>
  <si>
    <r>
      <rPr>
        <sz val="6.5"/>
        <rFont val="Calibri"/>
        <family val="1"/>
      </rPr>
      <t>Service Drawer Rails</t>
    </r>
  </si>
  <si>
    <r>
      <rPr>
        <sz val="6.5"/>
        <rFont val="Calibri"/>
        <family val="1"/>
      </rPr>
      <t>Charging Floor Brush, 10 pcs</t>
    </r>
  </si>
  <si>
    <r>
      <rPr>
        <sz val="6.5"/>
        <rFont val="Calibri"/>
        <family val="1"/>
      </rPr>
      <t>CAB-084 - MOC to Motorboard</t>
    </r>
  </si>
  <si>
    <r>
      <rPr>
        <sz val="6.5"/>
        <rFont val="Calibri"/>
        <family val="1"/>
      </rPr>
      <t>Harness 5 - CAB-039, CAB-38 MiR500</t>
    </r>
  </si>
  <si>
    <r>
      <rPr>
        <sz val="6.5"/>
        <rFont val="Calibri"/>
        <family val="1"/>
      </rPr>
      <t>Dummy plugs Aux Safety functions &amp; Aux E-stop</t>
    </r>
  </si>
  <si>
    <r>
      <rPr>
        <sz val="6.5"/>
        <rFont val="Calibri"/>
        <family val="1"/>
      </rPr>
      <t>Auto / Manual mode switch &amp; keys</t>
    </r>
  </si>
  <si>
    <r>
      <rPr>
        <sz val="6.5"/>
        <rFont val="Calibri"/>
        <family val="1"/>
      </rPr>
      <t>Camera MiR500/1000 assembly</t>
    </r>
  </si>
  <si>
    <r>
      <rPr>
        <sz val="6.5"/>
        <rFont val="Calibri"/>
        <family val="1"/>
      </rPr>
      <t>CAB-041</t>
    </r>
  </si>
  <si>
    <r>
      <rPr>
        <sz val="6.5"/>
        <rFont val="Calibri"/>
        <family val="1"/>
      </rPr>
      <t>Cable, CAB-079 &amp; CAB-080 MiR500/1000</t>
    </r>
  </si>
  <si>
    <r>
      <rPr>
        <sz val="6.5"/>
        <rFont val="Calibri"/>
        <family val="1"/>
      </rPr>
      <t>Wire kit 1, MiR500/1000</t>
    </r>
  </si>
  <si>
    <r>
      <rPr>
        <sz val="6.5"/>
        <rFont val="Calibri"/>
        <family val="1"/>
      </rPr>
      <t>Wire kit 2, MiR500/1000</t>
    </r>
  </si>
  <si>
    <r>
      <rPr>
        <sz val="6.5"/>
        <rFont val="Calibri"/>
        <family val="1"/>
      </rPr>
      <t>Wire kit 3, MiR500/1000</t>
    </r>
  </si>
  <si>
    <r>
      <rPr>
        <sz val="6.5"/>
        <rFont val="Calibri"/>
        <family val="1"/>
      </rPr>
      <t>Wire kit 4, MiR500/1000</t>
    </r>
  </si>
  <si>
    <r>
      <rPr>
        <sz val="6.5"/>
        <rFont val="Calibri"/>
        <family val="1"/>
      </rPr>
      <t>CAB-004</t>
    </r>
  </si>
  <si>
    <r>
      <rPr>
        <sz val="6.5"/>
        <rFont val="Calibri"/>
        <family val="1"/>
      </rPr>
      <t>Cab-022, MiR500/1000</t>
    </r>
  </si>
  <si>
    <r>
      <rPr>
        <sz val="6.5"/>
        <rFont val="Calibri"/>
        <family val="1"/>
      </rPr>
      <t>Bracket, Button, MiR500/1000</t>
    </r>
  </si>
  <si>
    <r>
      <rPr>
        <sz val="6.5"/>
        <rFont val="Calibri"/>
        <family val="1"/>
      </rPr>
      <t>Bracket, WiFi antenna, MiR500/1000</t>
    </r>
  </si>
  <si>
    <r>
      <rPr>
        <sz val="6.5"/>
        <rFont val="Calibri"/>
        <family val="1"/>
      </rPr>
      <t>Button interface MiR500/1000</t>
    </r>
  </si>
  <si>
    <r>
      <rPr>
        <sz val="6.5"/>
        <rFont val="Calibri"/>
        <family val="1"/>
      </rPr>
      <t>Adaptor cable, 48V cable charger</t>
    </r>
  </si>
  <si>
    <r>
      <rPr>
        <sz val="6.5"/>
        <rFont val="Calibri"/>
        <family val="1"/>
      </rPr>
      <t>CAB-030, short</t>
    </r>
  </si>
  <si>
    <r>
      <rPr>
        <sz val="6.5"/>
        <rFont val="Calibri"/>
        <family val="1"/>
      </rPr>
      <t>CAB-016 &amp; CAB-017</t>
    </r>
  </si>
  <si>
    <r>
      <rPr>
        <sz val="6.5"/>
        <rFont val="Calibri"/>
        <family val="1"/>
      </rPr>
      <t>Packaging MiR500/600/1000/1350</t>
    </r>
  </si>
  <si>
    <r>
      <rPr>
        <sz val="6.5"/>
        <rFont val="Calibri"/>
        <family val="1"/>
      </rPr>
      <t>Proxy-sensor wire-set for MiR500/1000</t>
    </r>
  </si>
  <si>
    <r>
      <rPr>
        <sz val="6.5"/>
        <rFont val="Calibri"/>
        <family val="1"/>
      </rPr>
      <t>CAB-034, MiR500/1000</t>
    </r>
  </si>
  <si>
    <r>
      <rPr>
        <sz val="6.5"/>
        <rFont val="Calibri"/>
        <family val="1"/>
      </rPr>
      <t>CAB-014 MIR500/1000</t>
    </r>
  </si>
  <si>
    <r>
      <rPr>
        <sz val="6.5"/>
        <rFont val="Calibri"/>
        <family val="1"/>
      </rPr>
      <t>CAB-044, MiR500/1000</t>
    </r>
  </si>
  <si>
    <r>
      <rPr>
        <sz val="6.5"/>
        <rFont val="Calibri"/>
        <family val="1"/>
      </rPr>
      <t>Powercables for motors MiR500/MiR1000</t>
    </r>
  </si>
  <si>
    <r>
      <rPr>
        <sz val="6.5"/>
        <rFont val="Calibri"/>
        <family val="1"/>
      </rPr>
      <t>Powerboard speaker</t>
    </r>
  </si>
  <si>
    <r>
      <rPr>
        <sz val="6.5"/>
        <rFont val="Calibri"/>
        <family val="1"/>
      </rPr>
      <t>Ground loop, PLS00548 audio isolator</t>
    </r>
  </si>
  <si>
    <r>
      <rPr>
        <sz val="6.5"/>
        <rFont val="Calibri"/>
        <family val="1"/>
      </rPr>
      <t>CAB-030, PB charger input and battery switch, long, MiR500/1000</t>
    </r>
  </si>
  <si>
    <r>
      <rPr>
        <sz val="6.5"/>
        <rFont val="Calibri"/>
        <family val="1"/>
      </rPr>
      <t>CAB-040 Power Board</t>
    </r>
  </si>
  <si>
    <r>
      <rPr>
        <sz val="6.5"/>
        <rFont val="Calibri"/>
        <family val="1"/>
      </rPr>
      <t>CAB-018 MiR500/1000</t>
    </r>
  </si>
  <si>
    <r>
      <rPr>
        <sz val="6.5"/>
        <rFont val="Calibri"/>
        <family val="1"/>
      </rPr>
      <t>LED strip short inc. alu rail</t>
    </r>
  </si>
  <si>
    <r>
      <rPr>
        <sz val="6.5"/>
        <rFont val="Calibri"/>
        <family val="1"/>
      </rPr>
      <t>Replacement box MiR500/1000</t>
    </r>
  </si>
  <si>
    <r>
      <rPr>
        <b/>
        <sz val="7"/>
        <color rgb="FF548ED4"/>
        <rFont val="Calibri"/>
        <family val="1"/>
      </rPr>
      <t>MiR500 service kits</t>
    </r>
  </si>
  <si>
    <r>
      <rPr>
        <b/>
        <sz val="7"/>
        <color rgb="FF548ED4"/>
        <rFont val="Calibri"/>
        <family val="1"/>
      </rPr>
      <t>MiR500 Lift application</t>
    </r>
  </si>
  <si>
    <r>
      <rPr>
        <sz val="6.5"/>
        <rFont val="Calibri"/>
        <family val="1"/>
      </rPr>
      <t>Linak Board TREM-0000-0101-DK</t>
    </r>
  </si>
  <si>
    <r>
      <rPr>
        <sz val="6.5"/>
        <rFont val="Calibri"/>
        <family val="1"/>
      </rPr>
      <t>Linak Board TREM-0000-0110-DK</t>
    </r>
  </si>
  <si>
    <r>
      <rPr>
        <sz val="6.5"/>
        <rFont val="Calibri"/>
        <family val="1"/>
      </rPr>
      <t>Linak Board TREM-0000-0112-DK</t>
    </r>
  </si>
  <si>
    <r>
      <rPr>
        <sz val="6.5"/>
        <rFont val="Calibri"/>
        <family val="1"/>
      </rPr>
      <t>Linak Board TREM-0000-0118-S-DK</t>
    </r>
  </si>
  <si>
    <r>
      <rPr>
        <sz val="6.5"/>
        <rFont val="Calibri"/>
        <family val="1"/>
      </rPr>
      <t>HDX Main power cable</t>
    </r>
  </si>
  <si>
    <r>
      <rPr>
        <sz val="6.5"/>
        <rFont val="Calibri"/>
        <family val="1"/>
      </rPr>
      <t>SLS-Switches with cables</t>
    </r>
  </si>
  <si>
    <r>
      <rPr>
        <sz val="6.5"/>
        <rFont val="Calibri"/>
        <family val="1"/>
      </rPr>
      <t>Emergency switches with cables</t>
    </r>
  </si>
  <si>
    <r>
      <rPr>
        <sz val="6.5"/>
        <rFont val="Calibri"/>
        <family val="1"/>
      </rPr>
      <t>US lift cover</t>
    </r>
  </si>
  <si>
    <r>
      <rPr>
        <sz val="6.5"/>
        <rFont val="Calibri"/>
        <family val="1"/>
      </rPr>
      <t>GPIO Cable</t>
    </r>
  </si>
  <si>
    <r>
      <rPr>
        <b/>
        <sz val="7"/>
        <color rgb="FF548ED4"/>
        <rFont val="Calibri"/>
        <family val="1"/>
      </rPr>
      <t>MiR600 Power</t>
    </r>
  </si>
  <si>
    <r>
      <rPr>
        <sz val="6.5"/>
        <rFont val="Calibri"/>
        <family val="1"/>
      </rPr>
      <t>Charging Module, MiR600/1350</t>
    </r>
  </si>
  <si>
    <r>
      <rPr>
        <sz val="6.5"/>
        <rFont val="Calibri"/>
        <family val="1"/>
      </rPr>
      <t>Dynamic Brake Relays, K4+K5, MiR600/1350</t>
    </r>
  </si>
  <si>
    <r>
      <rPr>
        <b/>
        <sz val="7"/>
        <color rgb="FF548ED4"/>
        <rFont val="Calibri"/>
        <family val="1"/>
      </rPr>
      <t>MiR600 Motors &amp; Wheels</t>
    </r>
  </si>
  <si>
    <r>
      <rPr>
        <sz val="6.5"/>
        <rFont val="Calibri"/>
        <family val="1"/>
      </rPr>
      <t>Drive wheels MiR600/1350, 2 pcs</t>
    </r>
  </si>
  <si>
    <r>
      <rPr>
        <sz val="6.5"/>
        <rFont val="Calibri"/>
        <family val="1"/>
      </rPr>
      <t>Motorcontroller, MiR600/1350</t>
    </r>
  </si>
  <si>
    <r>
      <rPr>
        <sz val="6.5"/>
        <rFont val="Calibri"/>
        <family val="1"/>
      </rPr>
      <t>Bogie w. motor, right side, MiR600</t>
    </r>
  </si>
  <si>
    <r>
      <rPr>
        <sz val="6.5"/>
        <rFont val="Calibri"/>
        <family val="1"/>
      </rPr>
      <t>Bogie nut replacement kit, MiR600/1350</t>
    </r>
  </si>
  <si>
    <r>
      <rPr>
        <b/>
        <sz val="7"/>
        <color rgb="FF548ED4"/>
        <rFont val="Calibri"/>
        <family val="1"/>
      </rPr>
      <t>MiR600 Processing units</t>
    </r>
  </si>
  <si>
    <r>
      <rPr>
        <sz val="6.5"/>
        <rFont val="Calibri"/>
        <family val="1"/>
      </rPr>
      <t>Powerboard, MiR600/1350</t>
    </r>
  </si>
  <si>
    <r>
      <rPr>
        <b/>
        <sz val="7"/>
        <color rgb="FF548ED4"/>
        <rFont val="Calibri"/>
        <family val="1"/>
      </rPr>
      <t>MiR600 Sensors</t>
    </r>
  </si>
  <si>
    <r>
      <rPr>
        <sz val="6.5"/>
        <rFont val="Calibri"/>
        <family val="1"/>
      </rPr>
      <t>Proximity module, MiR600/1350</t>
    </r>
  </si>
  <si>
    <r>
      <rPr>
        <sz val="6.5"/>
        <rFont val="Calibri"/>
        <family val="1"/>
      </rPr>
      <t>Thermal switch kit, MiR600/1350</t>
    </r>
  </si>
  <si>
    <r>
      <rPr>
        <sz val="6.5"/>
        <rFont val="Calibri"/>
        <family val="1"/>
      </rPr>
      <t>Scanner M12 Connector, MiR600/1350</t>
    </r>
  </si>
  <si>
    <r>
      <rPr>
        <b/>
        <sz val="7"/>
        <color rgb="FF548ED4"/>
        <rFont val="Calibri"/>
        <family val="1"/>
      </rPr>
      <t>MiR600 Covers &amp; External parts</t>
    </r>
  </si>
  <si>
    <r>
      <rPr>
        <sz val="6.5"/>
        <rFont val="Calibri"/>
        <family val="1"/>
      </rPr>
      <t>Top plate, MiR600/1350</t>
    </r>
  </si>
  <si>
    <r>
      <rPr>
        <sz val="6.5"/>
        <rFont val="Calibri"/>
        <family val="1"/>
      </rPr>
      <t>Corner Cover for scanner, fits front and back, MiR600</t>
    </r>
  </si>
  <si>
    <r>
      <rPr>
        <sz val="6.5"/>
        <rFont val="Calibri"/>
        <family val="1"/>
      </rPr>
      <t>Corner Cover front, MiR600</t>
    </r>
  </si>
  <si>
    <r>
      <rPr>
        <sz val="6.5"/>
        <rFont val="Calibri"/>
        <family val="1"/>
      </rPr>
      <t>Corner Cover for button and key, back, MiR600</t>
    </r>
  </si>
  <si>
    <r>
      <rPr>
        <sz val="6.5"/>
        <rFont val="Calibri"/>
        <family val="1"/>
      </rPr>
      <t>MiR600 Front metal</t>
    </r>
  </si>
  <si>
    <r>
      <rPr>
        <sz val="6.5"/>
        <rFont val="Calibri"/>
        <family val="1"/>
      </rPr>
      <t>Antenna MiR600/1350</t>
    </r>
  </si>
  <si>
    <r>
      <rPr>
        <sz val="6.5"/>
        <rFont val="Calibri"/>
        <family val="1"/>
      </rPr>
      <t>Side hatch, MiR600</t>
    </r>
  </si>
  <si>
    <r>
      <rPr>
        <sz val="6.5"/>
        <rFont val="Calibri"/>
        <family val="1"/>
      </rPr>
      <t>Rear hatch, MiR600</t>
    </r>
  </si>
  <si>
    <r>
      <rPr>
        <sz val="6.5"/>
        <rFont val="Calibri"/>
        <family val="1"/>
      </rPr>
      <t>Front status light, replacement  kit, MiR600/1350</t>
    </r>
  </si>
  <si>
    <r>
      <rPr>
        <sz val="6.5"/>
        <rFont val="Calibri"/>
        <family val="1"/>
      </rPr>
      <t>Ethernet connector, MiR600/1350</t>
    </r>
  </si>
  <si>
    <r>
      <rPr>
        <sz val="6.5"/>
        <rFont val="Calibri"/>
        <family val="1"/>
      </rPr>
      <t>Corner Cover, Front Left or Back Right, Scanner, MiR600 HW2</t>
    </r>
  </si>
  <si>
    <r>
      <rPr>
        <sz val="6.5"/>
        <rFont val="Calibri"/>
        <family val="1"/>
      </rPr>
      <t>Corner Cover, Front Right, MiR600 HW2</t>
    </r>
  </si>
  <si>
    <r>
      <rPr>
        <sz val="6.5"/>
        <rFont val="Calibri"/>
        <family val="1"/>
      </rPr>
      <t>Corner Cover, Back Left, buttons, MiR600 HW2</t>
    </r>
  </si>
  <si>
    <r>
      <rPr>
        <sz val="6.5"/>
        <rFont val="Calibri"/>
        <family val="1"/>
      </rPr>
      <t>Corner Cover, Front Right, MiR600 HW2 ESD</t>
    </r>
  </si>
  <si>
    <r>
      <rPr>
        <sz val="6.5"/>
        <rFont val="Calibri"/>
        <family val="1"/>
      </rPr>
      <t>Corner Cover, Back Left, buttons, MiR600 HW2 ESD</t>
    </r>
  </si>
  <si>
    <r>
      <rPr>
        <b/>
        <sz val="7"/>
        <color rgb="FF548ED4"/>
        <rFont val="Calibri"/>
        <family val="1"/>
      </rPr>
      <t>MiR600 Misc</t>
    </r>
  </si>
  <si>
    <r>
      <rPr>
        <sz val="6.5"/>
        <rFont val="Calibri"/>
        <family val="1"/>
      </rPr>
      <t>Ethernet Switch, MiR600/1350</t>
    </r>
  </si>
  <si>
    <r>
      <rPr>
        <sz val="6.5"/>
        <rFont val="Calibri"/>
        <family val="1"/>
      </rPr>
      <t>Dummy plugs All MiR600/1350, 6 pcs</t>
    </r>
  </si>
  <si>
    <r>
      <rPr>
        <sz val="6.5"/>
        <rFont val="Calibri"/>
        <family val="1"/>
      </rPr>
      <t>LED kit MiR600/1350</t>
    </r>
  </si>
  <si>
    <r>
      <rPr>
        <sz val="6.5"/>
        <rFont val="Calibri"/>
        <family val="1"/>
      </rPr>
      <t>Button interface, MiR600/1350</t>
    </r>
  </si>
  <si>
    <r>
      <rPr>
        <sz val="6.5"/>
        <rFont val="Calibri"/>
        <family val="1"/>
      </rPr>
      <t>Cable and connector for internal fan, MiR600/1350</t>
    </r>
  </si>
  <si>
    <r>
      <rPr>
        <sz val="6.5"/>
        <rFont val="Calibri"/>
        <family val="1"/>
      </rPr>
      <t>Cable and connectors for outer fan, MiR600/1350</t>
    </r>
  </si>
  <si>
    <r>
      <rPr>
        <sz val="6.5"/>
        <rFont val="Calibri"/>
        <family val="1"/>
      </rPr>
      <t>Loudspeaker, MiR600/1350</t>
    </r>
  </si>
  <si>
    <r>
      <rPr>
        <sz val="6.5"/>
        <rFont val="Calibri"/>
        <family val="1"/>
      </rPr>
      <t>USB camera cables MiR600/1350</t>
    </r>
  </si>
  <si>
    <r>
      <rPr>
        <sz val="6.5"/>
        <rFont val="Calibri"/>
        <family val="1"/>
      </rPr>
      <t>Cable 02, Ethernet - PC to Switch</t>
    </r>
  </si>
  <si>
    <r>
      <rPr>
        <sz val="6.5"/>
        <rFont val="Calibri"/>
        <family val="1"/>
      </rPr>
      <t>E-Stop buttons, MiR600/1350</t>
    </r>
  </si>
  <si>
    <r>
      <rPr>
        <sz val="6.5"/>
        <rFont val="Calibri"/>
        <family val="1"/>
      </rPr>
      <t>MOC cable, MAXI-HARN-007, MiR600/1350</t>
    </r>
  </si>
  <si>
    <r>
      <rPr>
        <sz val="6.5"/>
        <rFont val="Calibri"/>
        <family val="1"/>
      </rPr>
      <t>Cable and antenna, Wifi corner, MiR600/1350</t>
    </r>
  </si>
  <si>
    <r>
      <rPr>
        <sz val="6.5"/>
        <rFont val="Calibri"/>
        <family val="1"/>
      </rPr>
      <t>Camera D435, MiR600/1350, 2 pcs</t>
    </r>
  </si>
  <si>
    <r>
      <rPr>
        <sz val="6.5"/>
        <rFont val="Calibri"/>
        <family val="1"/>
      </rPr>
      <t>Harness-10,11,12, MiR600/1350</t>
    </r>
  </si>
  <si>
    <r>
      <rPr>
        <sz val="6.5"/>
        <rFont val="Calibri"/>
        <family val="1"/>
      </rPr>
      <t>MAXI-HARN-002, MiR600/1350 HW1</t>
    </r>
  </si>
  <si>
    <r>
      <rPr>
        <sz val="6.5"/>
        <rFont val="Calibri"/>
        <family val="1"/>
      </rPr>
      <t>MAXI-HARN-002, MiR600/1350 HW2</t>
    </r>
  </si>
  <si>
    <r>
      <rPr>
        <sz val="6.5"/>
        <rFont val="Calibri"/>
        <family val="1"/>
      </rPr>
      <t>Cables, Corner A, Proxy and Light,  Front Left or Back Right Scanner, MiR600/135</t>
    </r>
  </si>
  <si>
    <r>
      <rPr>
        <sz val="6.5"/>
        <rFont val="Calibri"/>
        <family val="1"/>
      </rPr>
      <t>Cables, Corner B, Proxy and Light, Front Right, MiR600/1350</t>
    </r>
  </si>
  <si>
    <r>
      <rPr>
        <sz val="6.5"/>
        <rFont val="Calibri"/>
        <family val="1"/>
      </rPr>
      <t>Cables, Corner C, Proxy and Light, Back Left Buttons, MiR600/1350</t>
    </r>
  </si>
  <si>
    <r>
      <rPr>
        <sz val="6.5"/>
        <rFont val="Calibri"/>
        <family val="1"/>
      </rPr>
      <t>Harness 010, FL/RR corner, MiR600/1350</t>
    </r>
  </si>
  <si>
    <r>
      <rPr>
        <b/>
        <sz val="7"/>
        <color rgb="FF548ED4"/>
        <rFont val="Calibri"/>
        <family val="1"/>
      </rPr>
      <t>MiR600 Service Kits</t>
    </r>
  </si>
  <si>
    <r>
      <rPr>
        <b/>
        <sz val="7"/>
        <color rgb="FF548ED4"/>
        <rFont val="Calibri"/>
        <family val="1"/>
      </rPr>
      <t>MiR600 Lift Applikations</t>
    </r>
  </si>
  <si>
    <r>
      <rPr>
        <sz val="6.5"/>
        <rFont val="Calibri"/>
        <family val="1"/>
      </rPr>
      <t>SLS MKII</t>
    </r>
  </si>
  <si>
    <r>
      <rPr>
        <b/>
        <sz val="7"/>
        <color rgb="FF548ED4"/>
        <rFont val="Calibri"/>
        <family val="1"/>
      </rPr>
      <t>MiR1000 Power</t>
    </r>
  </si>
  <si>
    <r>
      <rPr>
        <b/>
        <sz val="7"/>
        <color rgb="FF548ED4"/>
        <rFont val="Calibri"/>
        <family val="1"/>
      </rPr>
      <t>MiR1000 Motors &amp; Wheels</t>
    </r>
  </si>
  <si>
    <r>
      <rPr>
        <sz val="6.5"/>
        <rFont val="Calibri"/>
        <family val="1"/>
      </rPr>
      <t>Complete right Bogie for MiR1000</t>
    </r>
  </si>
  <si>
    <r>
      <rPr>
        <sz val="6.5"/>
        <rFont val="Calibri"/>
        <family val="1"/>
      </rPr>
      <t>Complete left Bogie for MiR1000</t>
    </r>
  </si>
  <si>
    <r>
      <rPr>
        <sz val="6.5"/>
        <rFont val="Calibri"/>
        <family val="1"/>
      </rPr>
      <t>Drivewheels and Casterwheels, MiR1000/MiR1350</t>
    </r>
  </si>
  <si>
    <r>
      <rPr>
        <b/>
        <sz val="7"/>
        <color rgb="FF548ED4"/>
        <rFont val="Calibri"/>
        <family val="1"/>
      </rPr>
      <t>MiR1000 Processing units</t>
    </r>
  </si>
  <si>
    <r>
      <rPr>
        <b/>
        <sz val="7"/>
        <color rgb="FF548ED4"/>
        <rFont val="Calibri"/>
        <family val="1"/>
      </rPr>
      <t>MiR1000 Sensors</t>
    </r>
  </si>
  <si>
    <r>
      <rPr>
        <b/>
        <sz val="7"/>
        <color rgb="FF548ED4"/>
        <rFont val="Calibri"/>
        <family val="1"/>
      </rPr>
      <t>MiR1000 Covers &amp; External parts</t>
    </r>
  </si>
  <si>
    <r>
      <rPr>
        <sz val="6.5"/>
        <rFont val="Calibri"/>
        <family val="1"/>
      </rPr>
      <t>Rear Hatch MiR1000</t>
    </r>
  </si>
  <si>
    <r>
      <rPr>
        <sz val="6.5"/>
        <rFont val="Calibri"/>
        <family val="1"/>
      </rPr>
      <t>Front Hatch MiR1000</t>
    </r>
  </si>
  <si>
    <r>
      <rPr>
        <sz val="6.5"/>
        <rFont val="Calibri"/>
        <family val="1"/>
      </rPr>
      <t>Side Hatch MiR1000</t>
    </r>
  </si>
  <si>
    <r>
      <rPr>
        <b/>
        <sz val="7"/>
        <color rgb="FF548ED4"/>
        <rFont val="Calibri"/>
        <family val="1"/>
      </rPr>
      <t>MiR1000 Misc</t>
    </r>
  </si>
  <si>
    <r>
      <rPr>
        <sz val="6.5"/>
        <rFont val="Calibri"/>
        <family val="1"/>
      </rPr>
      <t>Wheel hub &amp; Gear shaft replacement-kit</t>
    </r>
  </si>
  <si>
    <r>
      <rPr>
        <sz val="6.5"/>
        <rFont val="Calibri"/>
        <family val="1"/>
      </rPr>
      <t>MiR500/1000 cable, CAB-079 &amp; CAB-080</t>
    </r>
  </si>
  <si>
    <r>
      <rPr>
        <sz val="6.5"/>
        <rFont val="Calibri"/>
        <family val="1"/>
      </rPr>
      <t>MiR500/1000, Button interface</t>
    </r>
  </si>
  <si>
    <r>
      <rPr>
        <b/>
        <sz val="7"/>
        <color rgb="FF548ED4"/>
        <rFont val="Calibri"/>
        <family val="1"/>
      </rPr>
      <t>MiR1000 service kits</t>
    </r>
  </si>
  <si>
    <r>
      <rPr>
        <b/>
        <sz val="7"/>
        <color rgb="FF548ED4"/>
        <rFont val="Calibri"/>
        <family val="1"/>
      </rPr>
      <t>MiR1000 Lift application</t>
    </r>
  </si>
  <si>
    <r>
      <rPr>
        <sz val="6.5"/>
        <rFont val="Calibri"/>
        <family val="1"/>
      </rPr>
      <t>Linak Board TREM-0000-0144DK-00</t>
    </r>
  </si>
  <si>
    <r>
      <rPr>
        <b/>
        <sz val="7"/>
        <color rgb="FF548ED4"/>
        <rFont val="Calibri"/>
        <family val="1"/>
      </rPr>
      <t>MiR1350 Power</t>
    </r>
  </si>
  <si>
    <r>
      <rPr>
        <b/>
        <sz val="7"/>
        <color rgb="FF548ED4"/>
        <rFont val="Calibri"/>
        <family val="1"/>
      </rPr>
      <t>MiR1350 Motors &amp; Wheels</t>
    </r>
  </si>
  <si>
    <r>
      <rPr>
        <sz val="6.5"/>
        <rFont val="Calibri"/>
        <family val="1"/>
      </rPr>
      <t>Bogie w. motor, right side, MiR1350</t>
    </r>
  </si>
  <si>
    <r>
      <rPr>
        <sz val="6.5"/>
        <rFont val="Calibri"/>
        <family val="1"/>
      </rPr>
      <t>Bogie w. motor, left side, MiR1350</t>
    </r>
  </si>
  <si>
    <r>
      <rPr>
        <b/>
        <sz val="7"/>
        <color rgb="FF548ED4"/>
        <rFont val="Calibri"/>
        <family val="1"/>
      </rPr>
      <t>MiR1350 Processing units</t>
    </r>
  </si>
  <si>
    <r>
      <rPr>
        <b/>
        <sz val="7"/>
        <color rgb="FF548ED4"/>
        <rFont val="Calibri"/>
        <family val="1"/>
      </rPr>
      <t>MiR1350 Sensors</t>
    </r>
  </si>
  <si>
    <r>
      <rPr>
        <b/>
        <sz val="7"/>
        <color rgb="FF548ED4"/>
        <rFont val="Calibri"/>
        <family val="1"/>
      </rPr>
      <t>MiR1350 Covers &amp; External parts</t>
    </r>
  </si>
  <si>
    <r>
      <rPr>
        <sz val="6.5"/>
        <rFont val="Calibri"/>
        <family val="1"/>
      </rPr>
      <t>Corner Cover for scanner, fits front and back, MiR1350</t>
    </r>
  </si>
  <si>
    <r>
      <rPr>
        <sz val="6.5"/>
        <rFont val="Calibri"/>
        <family val="1"/>
      </rPr>
      <t>Corner Cover front, MiR1350</t>
    </r>
  </si>
  <si>
    <r>
      <rPr>
        <sz val="6.5"/>
        <rFont val="Calibri"/>
        <family val="1"/>
      </rPr>
      <t>Corner Cover for button and key, back, MiR1350</t>
    </r>
  </si>
  <si>
    <r>
      <rPr>
        <sz val="6.5"/>
        <rFont val="Calibri"/>
        <family val="1"/>
      </rPr>
      <t>Side hatch, MiR1350</t>
    </r>
  </si>
  <si>
    <r>
      <rPr>
        <sz val="6.5"/>
        <rFont val="Calibri"/>
        <family val="1"/>
      </rPr>
      <t>Front metal, MiR1350</t>
    </r>
  </si>
  <si>
    <r>
      <rPr>
        <sz val="6.5"/>
        <rFont val="Calibri"/>
        <family val="1"/>
      </rPr>
      <t>Rear hatch, MiR1350</t>
    </r>
  </si>
  <si>
    <r>
      <rPr>
        <b/>
        <sz val="7"/>
        <color rgb="FF548ED4"/>
        <rFont val="Calibri"/>
        <family val="1"/>
      </rPr>
      <t>MiR1350 Misc</t>
    </r>
  </si>
  <si>
    <r>
      <rPr>
        <sz val="6.5"/>
        <rFont val="Calibri"/>
        <family val="1"/>
      </rPr>
      <t>450728                Harness-10,11,12, MiR600/1350</t>
    </r>
  </si>
  <si>
    <r>
      <rPr>
        <b/>
        <sz val="7"/>
        <color rgb="FF548ED4"/>
        <rFont val="Calibri"/>
        <family val="1"/>
      </rPr>
      <t>MiR1350 Service kits</t>
    </r>
  </si>
  <si>
    <r>
      <rPr>
        <b/>
        <sz val="7"/>
        <color rgb="FF548ED4"/>
        <rFont val="Calibri"/>
        <family val="1"/>
      </rPr>
      <t>MiR1350 Lift application</t>
    </r>
  </si>
  <si>
    <r>
      <rPr>
        <b/>
        <sz val="7"/>
        <color rgb="FF548ED4"/>
        <rFont val="Calibri"/>
        <family val="1"/>
      </rPr>
      <t>MiR Charge 48V Misc</t>
    </r>
  </si>
  <si>
    <r>
      <rPr>
        <sz val="6.5"/>
        <rFont val="Calibri"/>
        <family val="1"/>
      </rPr>
      <t>Charging Plate, replacement kit, MiR Charge 48V</t>
    </r>
  </si>
  <si>
    <r>
      <rPr>
        <sz val="6.5"/>
        <rFont val="Calibri"/>
        <family val="1"/>
      </rPr>
      <t>Locking Power cord</t>
    </r>
  </si>
  <si>
    <t>Service kit 1 (30/90) all models</t>
  </si>
  <si>
    <t>Service kit 2 (60) HDX 20 - 25</t>
  </si>
  <si>
    <t>Service kit 3 (120) HDX 20</t>
  </si>
  <si>
    <t>Service kit 4 (60) HDX 20-2 - 20-3 - 25-2 - 25-3</t>
  </si>
  <si>
    <t>Service kit 5 (120) HDX 20-2 - 20-3</t>
  </si>
  <si>
    <t>Service kit 6 (120) HDX 25</t>
  </si>
  <si>
    <t>Service kit 7 (120) HDX 25-2 -25-3</t>
  </si>
  <si>
    <t>Service kit 8 (60) HDX 30 - 30-2 - 35 - 35-2</t>
  </si>
  <si>
    <t>Service kit 9 (120) HDX 30 - 30-2</t>
  </si>
  <si>
    <t>Service kit 10 (120) HDX 35 - 35-2</t>
  </si>
  <si>
    <t>Service kit 11 (60) HDX 35 S - 35 S2</t>
  </si>
  <si>
    <t>Service kit 12 (120) HDX 35 S - 35 S2</t>
  </si>
  <si>
    <t>Caster Wheels, 4 pcs</t>
  </si>
  <si>
    <t>Recommended Spare part package, MiR100/200</t>
  </si>
  <si>
    <t>Recommended Spare part Package, MiR250</t>
  </si>
  <si>
    <t>Recommended Spare part Package, MiR500/1000</t>
  </si>
  <si>
    <t>Recommended Spare Part Package, MiR600/1350</t>
  </si>
  <si>
    <t>Linak Board TREM-0000-0101-DK</t>
  </si>
  <si>
    <t>Hook interface (top application port + network port+internal network cable)</t>
  </si>
  <si>
    <t>Distributor</t>
  </si>
  <si>
    <t>CONFIDENTIAL DOCUMENT – DO NOT DISTRIBUTE</t>
  </si>
  <si>
    <t>Integrator  Price</t>
  </si>
  <si>
    <t>End User Price</t>
  </si>
  <si>
    <r>
      <rPr>
        <b/>
        <sz val="9.5"/>
        <color rgb="FF548ED4"/>
        <rFont val="Calibri"/>
        <family val="1"/>
      </rPr>
      <t xml:space="preserve">ME.KO Integrator Partner - MiR Spare Part Price List
</t>
    </r>
    <r>
      <rPr>
        <sz val="6.5"/>
        <rFont val="Calibri"/>
        <family val="1"/>
      </rPr>
      <t xml:space="preserve">All prices are net prices and ex works. </t>
    </r>
    <r>
      <rPr>
        <sz val="6.5"/>
        <color rgb="FFFF0000"/>
        <rFont val="Calibri"/>
        <family val="2"/>
      </rPr>
      <t>All prices are excluding shipping costs</t>
    </r>
    <r>
      <rPr>
        <sz val="6.5"/>
        <rFont val="Calibri"/>
        <family val="1"/>
      </rPr>
      <t xml:space="preserve">
All prices are valid from 1. February 2025 until 31. December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</si>
</sst>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Times New Roman"/>
      <charset val="204"/>
    </font>
    <font>
      <b/>
      <sz val="7"/>
      <name val="Calibri"/>
      <family val="2"/>
    </font>
    <font>
      <sz val="6.5"/>
      <color rgb="FF000000"/>
      <name val="Calibri"/>
      <family val="2"/>
    </font>
    <font>
      <sz val="6.5"/>
      <name val="Calibri"/>
      <family val="2"/>
    </font>
    <font>
      <b/>
      <sz val="7"/>
      <color rgb="FF548ED4"/>
      <name val="Calibri"/>
      <family val="2"/>
    </font>
    <font>
      <b/>
      <sz val="9.5"/>
      <color rgb="FF548ED4"/>
      <name val="Calibri"/>
      <family val="1"/>
    </font>
    <font>
      <sz val="6.5"/>
      <name val="Calibri"/>
      <family val="1"/>
    </font>
    <font>
      <b/>
      <sz val="7"/>
      <color rgb="FF548ED4"/>
      <name val="Calibri"/>
      <family val="1"/>
    </font>
    <font>
      <b/>
      <sz val="7"/>
      <name val="Calibri"/>
      <family val="2"/>
    </font>
    <font>
      <sz val="6.5"/>
      <name val="Calibri"/>
      <family val="2"/>
    </font>
    <font>
      <sz val="10"/>
      <color rgb="FF000000"/>
      <name val="Calibri"/>
      <family val="1"/>
    </font>
    <font>
      <b/>
      <sz val="8"/>
      <color rgb="FFFF0000"/>
      <name val="Calibri"/>
      <family val="2"/>
    </font>
    <font>
      <sz val="6.5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E1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auto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8DB"/>
      </bottom>
      <diagonal/>
    </border>
    <border>
      <left style="thin">
        <color rgb="FF000000"/>
      </left>
      <right style="thin">
        <color rgb="FF000000"/>
      </right>
      <top style="thin">
        <color rgb="FF8EA8DB"/>
      </top>
      <bottom style="thin">
        <color rgb="FF8EA8DB"/>
      </bottom>
      <diagonal/>
    </border>
    <border>
      <left style="thin">
        <color rgb="FF8EA8DB"/>
      </left>
      <right style="thin">
        <color rgb="FF000000"/>
      </right>
      <top style="thin">
        <color rgb="FF8EA8DB"/>
      </top>
      <bottom style="thin">
        <color rgb="FF8EA8DB"/>
      </bottom>
      <diagonal/>
    </border>
    <border>
      <left style="thin">
        <color rgb="FF000000"/>
      </left>
      <right/>
      <top style="thin">
        <color rgb="FF8EA8DB"/>
      </top>
      <bottom style="thin">
        <color rgb="FF8EA8DB"/>
      </bottom>
      <diagonal/>
    </border>
    <border>
      <left/>
      <right style="thin">
        <color rgb="FF000000"/>
      </right>
      <top style="thin">
        <color rgb="FF8EA8DB"/>
      </top>
      <bottom style="thin">
        <color rgb="FF8EA8DB"/>
      </bottom>
      <diagonal/>
    </border>
    <border>
      <left style="thin">
        <color rgb="FF8EA8DB"/>
      </left>
      <right/>
      <top style="thin">
        <color rgb="FF8EA8DB"/>
      </top>
      <bottom style="thin">
        <color rgb="FF8EA8DB"/>
      </bottom>
      <diagonal/>
    </border>
    <border>
      <left style="thin">
        <color rgb="FF000000"/>
      </left>
      <right style="thin">
        <color rgb="FF000000"/>
      </right>
      <top style="thin">
        <color rgb="FF8EA8DB"/>
      </top>
      <bottom style="thin">
        <color rgb="FF000000"/>
      </bottom>
      <diagonal/>
    </border>
    <border>
      <left style="thin">
        <color rgb="FF000000"/>
      </left>
      <right style="thin">
        <color rgb="FF8EA8DB"/>
      </right>
      <top style="thin">
        <color rgb="FF8EA8DB"/>
      </top>
      <bottom style="thin">
        <color rgb="FF8EA8DB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1" fontId="2" fillId="2" borderId="2" xfId="0" applyNumberFormat="1" applyFont="1" applyFill="1" applyBorder="1" applyAlignment="1">
      <alignment horizontal="left" vertical="top" shrinkToFit="1"/>
    </xf>
    <xf numFmtId="0" fontId="3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164" fontId="4" fillId="2" borderId="2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left" vertical="top" shrinkToFit="1"/>
    </xf>
    <xf numFmtId="1" fontId="2" fillId="2" borderId="3" xfId="0" applyNumberFormat="1" applyFont="1" applyFill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164" fontId="4" fillId="0" borderId="2" xfId="0" applyNumberFormat="1" applyFont="1" applyBorder="1" applyAlignment="1">
      <alignment horizontal="left" vertical="top" indent="1" shrinkToFit="1"/>
    </xf>
    <xf numFmtId="1" fontId="2" fillId="0" borderId="7" xfId="0" applyNumberFormat="1" applyFont="1" applyBorder="1" applyAlignment="1">
      <alignment horizontal="left" vertical="top" shrinkToFit="1"/>
    </xf>
    <xf numFmtId="0" fontId="3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3" fillId="0" borderId="0" xfId="0" applyFont="1" applyAlignment="1">
      <alignment horizontal="center" vertical="top" wrapText="1"/>
    </xf>
    <xf numFmtId="3" fontId="2" fillId="0" borderId="2" xfId="0" applyNumberFormat="1" applyFont="1" applyBorder="1" applyAlignment="1">
      <alignment horizontal="right" vertical="top" shrinkToFit="1"/>
    </xf>
    <xf numFmtId="3" fontId="2" fillId="2" borderId="2" xfId="0" applyNumberFormat="1" applyFont="1" applyFill="1" applyBorder="1" applyAlignment="1">
      <alignment horizontal="right" vertical="top" shrinkToFit="1"/>
    </xf>
    <xf numFmtId="3" fontId="2" fillId="3" borderId="2" xfId="0" applyNumberFormat="1" applyFont="1" applyFill="1" applyBorder="1" applyAlignment="1">
      <alignment horizontal="right" vertical="top" shrinkToFit="1"/>
    </xf>
    <xf numFmtId="0" fontId="6" fillId="2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3" fontId="2" fillId="4" borderId="2" xfId="0" applyNumberFormat="1" applyFont="1" applyFill="1" applyBorder="1" applyAlignment="1">
      <alignment horizontal="right" vertical="top" shrinkToFit="1"/>
    </xf>
    <xf numFmtId="3" fontId="2" fillId="5" borderId="2" xfId="0" applyNumberFormat="1" applyFont="1" applyFill="1" applyBorder="1" applyAlignment="1">
      <alignment horizontal="right" vertical="top" shrinkToFit="1"/>
    </xf>
    <xf numFmtId="3" fontId="2" fillId="6" borderId="2" xfId="0" applyNumberFormat="1" applyFont="1" applyFill="1" applyBorder="1" applyAlignment="1">
      <alignment horizontal="right" vertical="top" shrinkToFit="1"/>
    </xf>
    <xf numFmtId="3" fontId="0" fillId="0" borderId="0" xfId="0" applyNumberFormat="1" applyAlignment="1">
      <alignment horizontal="left" vertical="top"/>
    </xf>
    <xf numFmtId="3" fontId="0" fillId="2" borderId="2" xfId="0" applyNumberFormat="1" applyFill="1" applyBorder="1" applyAlignment="1">
      <alignment horizontal="left" wrapText="1"/>
    </xf>
    <xf numFmtId="3" fontId="0" fillId="0" borderId="2" xfId="0" applyNumberFormat="1" applyBorder="1" applyAlignment="1">
      <alignment horizontal="left" wrapText="1"/>
    </xf>
    <xf numFmtId="3" fontId="2" fillId="0" borderId="2" xfId="0" applyNumberFormat="1" applyFont="1" applyBorder="1" applyAlignment="1">
      <alignment horizontal="right" vertical="center" shrinkToFit="1"/>
    </xf>
    <xf numFmtId="3" fontId="2" fillId="2" borderId="2" xfId="0" applyNumberFormat="1" applyFont="1" applyFill="1" applyBorder="1" applyAlignment="1">
      <alignment horizontal="right" vertical="center" shrinkToFit="1"/>
    </xf>
    <xf numFmtId="3" fontId="2" fillId="0" borderId="7" xfId="0" applyNumberFormat="1" applyFont="1" applyBorder="1" applyAlignment="1">
      <alignment horizontal="right" vertical="top" shrinkToFit="1"/>
    </xf>
    <xf numFmtId="3" fontId="8" fillId="0" borderId="1" xfId="0" applyNumberFormat="1" applyFont="1" applyBorder="1" applyAlignment="1">
      <alignment horizontal="left" vertical="top" wrapText="1"/>
    </xf>
    <xf numFmtId="3" fontId="0" fillId="2" borderId="4" xfId="0" applyNumberFormat="1" applyFill="1" applyBorder="1" applyAlignment="1">
      <alignment horizontal="left" wrapText="1"/>
    </xf>
    <xf numFmtId="3" fontId="0" fillId="0" borderId="4" xfId="0" applyNumberFormat="1" applyBorder="1" applyAlignment="1">
      <alignment horizontal="left" wrapText="1"/>
    </xf>
    <xf numFmtId="3" fontId="0" fillId="2" borderId="8" xfId="0" applyNumberFormat="1" applyFill="1" applyBorder="1" applyAlignment="1">
      <alignment horizontal="left" wrapText="1"/>
    </xf>
    <xf numFmtId="3" fontId="0" fillId="0" borderId="8" xfId="0" applyNumberFormat="1" applyBorder="1" applyAlignment="1">
      <alignment horizontal="left" wrapText="1"/>
    </xf>
    <xf numFmtId="3" fontId="9" fillId="2" borderId="2" xfId="0" applyNumberFormat="1" applyFont="1" applyFill="1" applyBorder="1" applyAlignment="1">
      <alignment horizontal="right" vertical="top" shrinkToFit="1"/>
    </xf>
    <xf numFmtId="0" fontId="6" fillId="0" borderId="2" xfId="0" applyFont="1" applyBorder="1" applyAlignment="1">
      <alignment horizontal="left" vertical="top" wrapText="1"/>
    </xf>
    <xf numFmtId="3" fontId="8" fillId="0" borderId="1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0" fillId="2" borderId="6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wrapText="1" indent="5"/>
    </xf>
    <xf numFmtId="3" fontId="10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</xdr:colOff>
      <xdr:row>0</xdr:row>
      <xdr:rowOff>343535</xdr:rowOff>
    </xdr:from>
    <xdr:ext cx="893380" cy="396213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8742" y="343535"/>
          <a:ext cx="893380" cy="39621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884</xdr:row>
      <xdr:rowOff>211861</xdr:rowOff>
    </xdr:from>
    <xdr:ext cx="559435" cy="114300"/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0" y="99524241"/>
          <a:ext cx="559435" cy="114300"/>
          <a:chOff x="0" y="0"/>
          <a:chExt cx="559435" cy="11430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0"/>
            <a:ext cx="7620" cy="114300"/>
          </a:xfrm>
          <a:custGeom>
            <a:avLst/>
            <a:gdLst/>
            <a:ahLst/>
            <a:cxnLst/>
            <a:rect l="0" t="0" r="0" b="0"/>
            <a:pathLst>
              <a:path w="7620" h="114300">
                <a:moveTo>
                  <a:pt x="7620" y="114300"/>
                </a:moveTo>
                <a:lnTo>
                  <a:pt x="0" y="114300"/>
                </a:lnTo>
                <a:lnTo>
                  <a:pt x="0" y="0"/>
                </a:lnTo>
                <a:lnTo>
                  <a:pt x="7620" y="0"/>
                </a:lnTo>
                <a:lnTo>
                  <a:pt x="7620" y="1143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7620" y="106680"/>
            <a:ext cx="551815" cy="7620"/>
          </a:xfrm>
          <a:custGeom>
            <a:avLst/>
            <a:gdLst/>
            <a:ahLst/>
            <a:cxnLst/>
            <a:rect l="0" t="0" r="0" b="0"/>
            <a:pathLst>
              <a:path w="551815" h="7620">
                <a:moveTo>
                  <a:pt x="551688" y="7619"/>
                </a:moveTo>
                <a:lnTo>
                  <a:pt x="0" y="7619"/>
                </a:lnTo>
                <a:lnTo>
                  <a:pt x="0" y="0"/>
                </a:lnTo>
                <a:lnTo>
                  <a:pt x="551688" y="0"/>
                </a:lnTo>
                <a:lnTo>
                  <a:pt x="551688" y="7619"/>
                </a:lnTo>
                <a:close/>
              </a:path>
            </a:pathLst>
          </a:custGeom>
          <a:solidFill>
            <a:srgbClr val="8EA8DB">
              <a:alpha val="50000"/>
            </a:srgbClr>
          </a:solidFill>
        </xdr:spPr>
      </xdr:sp>
    </xdr:grpSp>
    <xdr:clientData/>
  </xdr:oneCellAnchor>
  <xdr:twoCellAnchor editAs="oneCell">
    <xdr:from>
      <xdr:col>11</xdr:col>
      <xdr:colOff>401582</xdr:colOff>
      <xdr:row>0</xdr:row>
      <xdr:rowOff>250371</xdr:rowOff>
    </xdr:from>
    <xdr:to>
      <xdr:col>15</xdr:col>
      <xdr:colOff>169173</xdr:colOff>
      <xdr:row>2</xdr:row>
      <xdr:rowOff>18047</xdr:rowOff>
    </xdr:to>
    <xdr:pic>
      <xdr:nvPicPr>
        <xdr:cNvPr id="4" name="Immagine 3" descr="Immagine che contiene Carattere, testo, Elementi grafici, grafica&#10;&#10;Il contenuto generato dall'IA potrebbe non essere corretto.">
          <a:extLst>
            <a:ext uri="{FF2B5EF4-FFF2-40B4-BE49-F238E27FC236}">
              <a16:creationId xmlns:a16="http://schemas.microsoft.com/office/drawing/2014/main" id="{874695FE-7EB5-7D6A-492D-C4215D044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41" b="15224"/>
        <a:stretch/>
      </xdr:blipFill>
      <xdr:spPr>
        <a:xfrm>
          <a:off x="9545582" y="250371"/>
          <a:ext cx="1417082" cy="723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7"/>
  <sheetViews>
    <sheetView tabSelected="1" view="pageLayout" zoomScale="145" zoomScaleNormal="160" zoomScalePageLayoutView="145" workbookViewId="0">
      <selection activeCell="Q2" sqref="Q1:Q1048576"/>
    </sheetView>
  </sheetViews>
  <sheetFormatPr defaultRowHeight="13.2" x14ac:dyDescent="0.25"/>
  <cols>
    <col min="1" max="1" width="7.44140625" customWidth="1"/>
    <col min="2" max="2" width="32.5546875" customWidth="1"/>
    <col min="3" max="6" width="6" customWidth="1"/>
    <col min="7" max="7" width="6.21875" customWidth="1"/>
    <col min="8" max="12" width="6" customWidth="1"/>
    <col min="13" max="13" width="6.21875" customWidth="1"/>
    <col min="14" max="16" width="6" customWidth="1"/>
    <col min="17" max="17" width="10.109375" style="39" hidden="1" customWidth="1"/>
    <col min="18" max="19" width="11.5546875" style="39" customWidth="1"/>
    <col min="20" max="20" width="1.5546875" customWidth="1"/>
  </cols>
  <sheetData>
    <row r="1" spans="1:20" ht="32.25" customHeight="1" x14ac:dyDescent="0.25">
      <c r="A1" s="59" t="s">
        <v>497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ht="43.95" customHeight="1" x14ac:dyDescent="0.25">
      <c r="A2" s="53" t="s">
        <v>494</v>
      </c>
    </row>
    <row r="3" spans="1:20" ht="11.4" customHeight="1" x14ac:dyDescent="0.25">
      <c r="A3" s="1" t="s">
        <v>0</v>
      </c>
      <c r="B3" s="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45" t="s">
        <v>493</v>
      </c>
      <c r="R3" s="52" t="s">
        <v>495</v>
      </c>
      <c r="S3" s="52" t="s">
        <v>496</v>
      </c>
    </row>
    <row r="4" spans="1:20" ht="9" customHeight="1" x14ac:dyDescent="0.25">
      <c r="A4" s="3"/>
      <c r="B4" s="4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0"/>
      <c r="R4" s="40"/>
      <c r="S4" s="40"/>
    </row>
    <row r="5" spans="1:20" ht="9" customHeight="1" x14ac:dyDescent="0.25">
      <c r="A5" s="5">
        <v>450476</v>
      </c>
      <c r="B5" s="35" t="s">
        <v>487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30">
        <v>6600</v>
      </c>
      <c r="R5" s="30">
        <f>((S5-Q5)/2)+Q5</f>
        <v>7830</v>
      </c>
      <c r="S5" s="30">
        <v>9060</v>
      </c>
    </row>
    <row r="6" spans="1:20" ht="9" customHeight="1" x14ac:dyDescent="0.25">
      <c r="A6" s="8">
        <v>450477</v>
      </c>
      <c r="B6" s="34" t="s">
        <v>488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1">
        <v>9655</v>
      </c>
      <c r="R6" s="31">
        <f>((S6-Q6)/2)+Q6</f>
        <v>11445</v>
      </c>
      <c r="S6" s="31">
        <v>13235</v>
      </c>
    </row>
    <row r="7" spans="1:20" ht="9" customHeight="1" x14ac:dyDescent="0.25">
      <c r="A7" s="5">
        <v>450478</v>
      </c>
      <c r="B7" s="35" t="s">
        <v>489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32">
        <v>12545</v>
      </c>
      <c r="R7" s="30">
        <f>((S7-Q7)/2)+Q7</f>
        <v>14870</v>
      </c>
      <c r="S7" s="32">
        <v>17195</v>
      </c>
    </row>
    <row r="8" spans="1:20" ht="9" customHeight="1" x14ac:dyDescent="0.25">
      <c r="A8" s="8">
        <v>450479</v>
      </c>
      <c r="B8" s="34" t="s">
        <v>490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1">
        <v>12390</v>
      </c>
      <c r="R8" s="31">
        <f>((S8-Q8)/2)+Q8</f>
        <v>14670</v>
      </c>
      <c r="S8" s="31">
        <v>16950</v>
      </c>
    </row>
    <row r="9" spans="1:20" ht="8.5500000000000007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41"/>
      <c r="R9" s="41"/>
      <c r="S9" s="41"/>
    </row>
    <row r="10" spans="1:20" ht="9" customHeight="1" x14ac:dyDescent="0.25">
      <c r="A10" s="3"/>
      <c r="B10" s="4" t="s">
        <v>3</v>
      </c>
      <c r="C10" s="10" t="s">
        <v>4</v>
      </c>
      <c r="D10" s="11">
        <v>1.6</v>
      </c>
      <c r="E10" s="11">
        <v>1.7</v>
      </c>
      <c r="F10" s="11">
        <v>1.8</v>
      </c>
      <c r="G10" s="11">
        <v>1.9</v>
      </c>
      <c r="H10" s="11">
        <v>2</v>
      </c>
      <c r="I10" s="11">
        <v>2.1</v>
      </c>
      <c r="J10" s="11">
        <v>2.2000000000000002</v>
      </c>
      <c r="K10" s="11">
        <v>3</v>
      </c>
      <c r="L10" s="10" t="s">
        <v>5</v>
      </c>
      <c r="M10" s="11">
        <v>4</v>
      </c>
      <c r="N10" s="11">
        <v>5</v>
      </c>
      <c r="O10" s="11">
        <v>6</v>
      </c>
      <c r="P10" s="11">
        <v>7</v>
      </c>
      <c r="Q10" s="40"/>
      <c r="R10" s="40"/>
      <c r="S10" s="40"/>
    </row>
    <row r="11" spans="1:20" ht="9" customHeight="1" x14ac:dyDescent="0.25">
      <c r="A11" s="5">
        <v>450071</v>
      </c>
      <c r="B11" s="6" t="s">
        <v>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30">
        <v>245</v>
      </c>
      <c r="R11" s="30">
        <f t="shared" ref="R11:R42" si="0">((S11-Q11)/2)+Q11</f>
        <v>292.5</v>
      </c>
      <c r="S11" s="30">
        <v>340</v>
      </c>
    </row>
    <row r="12" spans="1:20" ht="9" customHeight="1" x14ac:dyDescent="0.25">
      <c r="A12" s="8">
        <v>450063</v>
      </c>
      <c r="B12" s="9" t="s">
        <v>7</v>
      </c>
      <c r="C12" s="3"/>
      <c r="D12" s="3"/>
      <c r="E12" s="3"/>
      <c r="F12" s="3"/>
      <c r="G12" s="3"/>
      <c r="H12" s="12" t="s">
        <v>8</v>
      </c>
      <c r="I12" s="12" t="s">
        <v>8</v>
      </c>
      <c r="J12" s="12" t="s">
        <v>8</v>
      </c>
      <c r="K12" s="12" t="s">
        <v>8</v>
      </c>
      <c r="L12" s="12" t="s">
        <v>8</v>
      </c>
      <c r="M12" s="12" t="s">
        <v>8</v>
      </c>
      <c r="N12" s="12" t="s">
        <v>8</v>
      </c>
      <c r="O12" s="12" t="s">
        <v>8</v>
      </c>
      <c r="P12" s="12" t="s">
        <v>8</v>
      </c>
      <c r="Q12" s="31">
        <v>85</v>
      </c>
      <c r="R12" s="31">
        <f t="shared" si="0"/>
        <v>97.5</v>
      </c>
      <c r="S12" s="31">
        <v>110</v>
      </c>
    </row>
    <row r="13" spans="1:20" ht="9" customHeight="1" x14ac:dyDescent="0.25">
      <c r="A13" s="5">
        <v>450064</v>
      </c>
      <c r="B13" s="6" t="s">
        <v>9</v>
      </c>
      <c r="C13" s="7"/>
      <c r="D13" s="7"/>
      <c r="E13" s="7"/>
      <c r="F13" s="7"/>
      <c r="G13" s="7"/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  <c r="O13" s="13" t="s">
        <v>8</v>
      </c>
      <c r="P13" s="13" t="s">
        <v>8</v>
      </c>
      <c r="Q13" s="30">
        <v>85</v>
      </c>
      <c r="R13" s="30">
        <f t="shared" si="0"/>
        <v>97.5</v>
      </c>
      <c r="S13" s="30">
        <v>110</v>
      </c>
    </row>
    <row r="14" spans="1:20" ht="8.4" customHeight="1" x14ac:dyDescent="0.25">
      <c r="A14" s="8">
        <v>450086</v>
      </c>
      <c r="B14" s="9" t="s">
        <v>9</v>
      </c>
      <c r="C14" s="12" t="s">
        <v>8</v>
      </c>
      <c r="D14" s="12" t="s">
        <v>8</v>
      </c>
      <c r="E14" s="12" t="s">
        <v>8</v>
      </c>
      <c r="F14" s="12" t="s">
        <v>8</v>
      </c>
      <c r="G14" s="12" t="s">
        <v>8</v>
      </c>
      <c r="H14" s="3"/>
      <c r="I14" s="3"/>
      <c r="J14" s="3"/>
      <c r="K14" s="12" t="s">
        <v>8</v>
      </c>
      <c r="L14" s="12" t="s">
        <v>8</v>
      </c>
      <c r="M14" s="12" t="s">
        <v>8</v>
      </c>
      <c r="N14" s="12" t="s">
        <v>8</v>
      </c>
      <c r="O14" s="12" t="s">
        <v>8</v>
      </c>
      <c r="P14" s="12" t="s">
        <v>8</v>
      </c>
      <c r="Q14" s="31">
        <v>25</v>
      </c>
      <c r="R14" s="31">
        <f t="shared" si="0"/>
        <v>27.5</v>
      </c>
      <c r="S14" s="31">
        <v>30</v>
      </c>
    </row>
    <row r="15" spans="1:20" ht="9" customHeight="1" x14ac:dyDescent="0.25">
      <c r="A15" s="5">
        <v>450087</v>
      </c>
      <c r="B15" s="6" t="s">
        <v>7</v>
      </c>
      <c r="C15" s="13" t="s">
        <v>8</v>
      </c>
      <c r="D15" s="13" t="s">
        <v>8</v>
      </c>
      <c r="E15" s="13" t="s">
        <v>8</v>
      </c>
      <c r="F15" s="13" t="s">
        <v>8</v>
      </c>
      <c r="G15" s="13" t="s">
        <v>8</v>
      </c>
      <c r="H15" s="7"/>
      <c r="I15" s="7"/>
      <c r="J15" s="7"/>
      <c r="K15" s="13" t="s">
        <v>8</v>
      </c>
      <c r="L15" s="13" t="s">
        <v>8</v>
      </c>
      <c r="M15" s="13" t="s">
        <v>8</v>
      </c>
      <c r="N15" s="13" t="s">
        <v>8</v>
      </c>
      <c r="O15" s="13" t="s">
        <v>8</v>
      </c>
      <c r="P15" s="13" t="s">
        <v>8</v>
      </c>
      <c r="Q15" s="30">
        <v>25</v>
      </c>
      <c r="R15" s="30">
        <f t="shared" si="0"/>
        <v>27.5</v>
      </c>
      <c r="S15" s="30">
        <v>30</v>
      </c>
    </row>
    <row r="16" spans="1:20" ht="9" customHeight="1" x14ac:dyDescent="0.25">
      <c r="A16" s="8">
        <v>450077</v>
      </c>
      <c r="B16" s="9" t="s">
        <v>10</v>
      </c>
      <c r="C16" s="3"/>
      <c r="D16" s="3"/>
      <c r="E16" s="3"/>
      <c r="F16" s="3"/>
      <c r="G16" s="3"/>
      <c r="H16" s="12" t="s">
        <v>8</v>
      </c>
      <c r="I16" s="12" t="s">
        <v>8</v>
      </c>
      <c r="J16" s="12" t="s">
        <v>8</v>
      </c>
      <c r="K16" s="12" t="s">
        <v>8</v>
      </c>
      <c r="L16" s="12" t="s">
        <v>8</v>
      </c>
      <c r="M16" s="12" t="s">
        <v>8</v>
      </c>
      <c r="N16" s="12" t="s">
        <v>8</v>
      </c>
      <c r="O16" s="12" t="s">
        <v>8</v>
      </c>
      <c r="P16" s="12" t="s">
        <v>8</v>
      </c>
      <c r="Q16" s="31">
        <v>15</v>
      </c>
      <c r="R16" s="31">
        <f t="shared" si="0"/>
        <v>20</v>
      </c>
      <c r="S16" s="31">
        <v>25</v>
      </c>
    </row>
    <row r="17" spans="1:19" ht="9" customHeight="1" x14ac:dyDescent="0.25">
      <c r="A17" s="5">
        <v>450119</v>
      </c>
      <c r="B17" s="6" t="s">
        <v>11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30">
        <v>250</v>
      </c>
      <c r="R17" s="30">
        <f t="shared" si="0"/>
        <v>300</v>
      </c>
      <c r="S17" s="30">
        <v>350</v>
      </c>
    </row>
    <row r="18" spans="1:19" ht="9" customHeight="1" x14ac:dyDescent="0.25">
      <c r="A18" s="8">
        <v>450079</v>
      </c>
      <c r="B18" s="9" t="s">
        <v>12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1">
        <v>110</v>
      </c>
      <c r="R18" s="31">
        <f t="shared" si="0"/>
        <v>127.5</v>
      </c>
      <c r="S18" s="31">
        <v>145</v>
      </c>
    </row>
    <row r="19" spans="1:19" ht="9" customHeight="1" x14ac:dyDescent="0.25">
      <c r="A19" s="5">
        <v>450120</v>
      </c>
      <c r="B19" s="6" t="s">
        <v>13</v>
      </c>
      <c r="C19" s="7"/>
      <c r="D19" s="7"/>
      <c r="E19" s="7"/>
      <c r="F19" s="7"/>
      <c r="G19" s="7"/>
      <c r="H19" s="7"/>
      <c r="I19" s="7"/>
      <c r="J19" s="7"/>
      <c r="K19" s="13" t="s">
        <v>8</v>
      </c>
      <c r="L19" s="13" t="s">
        <v>8</v>
      </c>
      <c r="M19" s="13" t="s">
        <v>8</v>
      </c>
      <c r="N19" s="13" t="s">
        <v>8</v>
      </c>
      <c r="O19" s="13" t="s">
        <v>8</v>
      </c>
      <c r="P19" s="13" t="s">
        <v>8</v>
      </c>
      <c r="Q19" s="30">
        <v>105</v>
      </c>
      <c r="R19" s="30">
        <f t="shared" si="0"/>
        <v>125</v>
      </c>
      <c r="S19" s="30">
        <v>145</v>
      </c>
    </row>
    <row r="20" spans="1:19" ht="9" customHeight="1" x14ac:dyDescent="0.25">
      <c r="A20" s="8">
        <v>450076</v>
      </c>
      <c r="B20" s="9" t="s">
        <v>14</v>
      </c>
      <c r="C20" s="3"/>
      <c r="D20" s="3"/>
      <c r="E20" s="3"/>
      <c r="F20" s="3"/>
      <c r="G20" s="3"/>
      <c r="H20" s="12" t="s">
        <v>8</v>
      </c>
      <c r="I20" s="12" t="s">
        <v>8</v>
      </c>
      <c r="J20" s="12" t="s">
        <v>8</v>
      </c>
      <c r="K20" s="12" t="s">
        <v>8</v>
      </c>
      <c r="L20" s="12" t="s">
        <v>8</v>
      </c>
      <c r="M20" s="12" t="s">
        <v>8</v>
      </c>
      <c r="N20" s="12" t="s">
        <v>8</v>
      </c>
      <c r="O20" s="12" t="s">
        <v>8</v>
      </c>
      <c r="P20" s="12" t="s">
        <v>8</v>
      </c>
      <c r="Q20" s="31">
        <v>115</v>
      </c>
      <c r="R20" s="31">
        <f t="shared" si="0"/>
        <v>140</v>
      </c>
      <c r="S20" s="31">
        <v>165</v>
      </c>
    </row>
    <row r="21" spans="1:19" ht="9" customHeight="1" x14ac:dyDescent="0.25">
      <c r="A21" s="5">
        <v>450043</v>
      </c>
      <c r="B21" s="6" t="s">
        <v>15</v>
      </c>
      <c r="C21" s="13" t="s">
        <v>8</v>
      </c>
      <c r="D21" s="13" t="s">
        <v>8</v>
      </c>
      <c r="E21" s="13" t="s">
        <v>8</v>
      </c>
      <c r="F21" s="13" t="s">
        <v>8</v>
      </c>
      <c r="G21" s="13" t="s">
        <v>8</v>
      </c>
      <c r="H21" s="7"/>
      <c r="I21" s="7"/>
      <c r="J21" s="7"/>
      <c r="K21" s="7"/>
      <c r="L21" s="7"/>
      <c r="M21" s="7"/>
      <c r="N21" s="7"/>
      <c r="O21" s="7"/>
      <c r="P21" s="7"/>
      <c r="Q21" s="30">
        <v>95</v>
      </c>
      <c r="R21" s="30">
        <f t="shared" si="0"/>
        <v>115</v>
      </c>
      <c r="S21" s="30">
        <v>135</v>
      </c>
    </row>
    <row r="22" spans="1:19" ht="9" customHeight="1" x14ac:dyDescent="0.25">
      <c r="A22" s="8">
        <v>450037</v>
      </c>
      <c r="B22" s="9" t="s">
        <v>16</v>
      </c>
      <c r="C22" s="12" t="s">
        <v>8</v>
      </c>
      <c r="D22" s="12" t="s">
        <v>8</v>
      </c>
      <c r="E22" s="12" t="s">
        <v>8</v>
      </c>
      <c r="F22" s="12" t="s">
        <v>8</v>
      </c>
      <c r="G22" s="12" t="s">
        <v>8</v>
      </c>
      <c r="H22" s="3"/>
      <c r="I22" s="3"/>
      <c r="J22" s="3"/>
      <c r="K22" s="3"/>
      <c r="L22" s="3"/>
      <c r="M22" s="3"/>
      <c r="N22" s="3"/>
      <c r="O22" s="3"/>
      <c r="P22" s="3"/>
      <c r="Q22" s="31">
        <v>705</v>
      </c>
      <c r="R22" s="31">
        <f t="shared" si="0"/>
        <v>832.5</v>
      </c>
      <c r="S22" s="31">
        <v>960</v>
      </c>
    </row>
    <row r="23" spans="1:19" ht="9" customHeight="1" x14ac:dyDescent="0.25">
      <c r="A23" s="5">
        <v>450044</v>
      </c>
      <c r="B23" s="6" t="s">
        <v>17</v>
      </c>
      <c r="C23" s="13" t="s">
        <v>8</v>
      </c>
      <c r="D23" s="13" t="s">
        <v>8</v>
      </c>
      <c r="E23" s="13" t="s">
        <v>8</v>
      </c>
      <c r="F23" s="13" t="s">
        <v>8</v>
      </c>
      <c r="G23" s="13" t="s">
        <v>8</v>
      </c>
      <c r="H23" s="7"/>
      <c r="I23" s="7"/>
      <c r="J23" s="7"/>
      <c r="K23" s="7"/>
      <c r="L23" s="7"/>
      <c r="M23" s="7"/>
      <c r="N23" s="7"/>
      <c r="O23" s="7"/>
      <c r="P23" s="7"/>
      <c r="Q23" s="30">
        <v>245</v>
      </c>
      <c r="R23" s="30">
        <f t="shared" si="0"/>
        <v>287.5</v>
      </c>
      <c r="S23" s="30">
        <v>330</v>
      </c>
    </row>
    <row r="24" spans="1:19" ht="9" customHeight="1" x14ac:dyDescent="0.25">
      <c r="A24" s="8">
        <v>450072</v>
      </c>
      <c r="B24" s="9" t="s">
        <v>18</v>
      </c>
      <c r="C24" s="12" t="s">
        <v>8</v>
      </c>
      <c r="D24" s="12" t="s">
        <v>8</v>
      </c>
      <c r="E24" s="12" t="s">
        <v>8</v>
      </c>
      <c r="F24" s="12" t="s">
        <v>8</v>
      </c>
      <c r="G24" s="3"/>
      <c r="H24" s="12" t="s">
        <v>8</v>
      </c>
      <c r="I24" s="12" t="s">
        <v>8</v>
      </c>
      <c r="J24" s="12" t="s">
        <v>8</v>
      </c>
      <c r="K24" s="12" t="s">
        <v>8</v>
      </c>
      <c r="L24" s="12" t="s">
        <v>8</v>
      </c>
      <c r="M24" s="12" t="s">
        <v>8</v>
      </c>
      <c r="N24" s="12" t="s">
        <v>8</v>
      </c>
      <c r="O24" s="12" t="s">
        <v>8</v>
      </c>
      <c r="P24" s="12" t="s">
        <v>8</v>
      </c>
      <c r="Q24" s="31">
        <v>25</v>
      </c>
      <c r="R24" s="31">
        <f t="shared" si="0"/>
        <v>27.5</v>
      </c>
      <c r="S24" s="31">
        <v>30</v>
      </c>
    </row>
    <row r="25" spans="1:19" ht="9" customHeight="1" x14ac:dyDescent="0.25">
      <c r="A25" s="5">
        <v>450030</v>
      </c>
      <c r="B25" s="6" t="s">
        <v>19</v>
      </c>
      <c r="C25" s="7"/>
      <c r="D25" s="7"/>
      <c r="E25" s="7"/>
      <c r="F25" s="7"/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  <c r="O25" s="13" t="s">
        <v>8</v>
      </c>
      <c r="P25" s="13" t="s">
        <v>8</v>
      </c>
      <c r="Q25" s="30">
        <v>25</v>
      </c>
      <c r="R25" s="30">
        <f t="shared" si="0"/>
        <v>27.5</v>
      </c>
      <c r="S25" s="30">
        <v>30</v>
      </c>
    </row>
    <row r="26" spans="1:19" ht="9" customHeight="1" x14ac:dyDescent="0.25">
      <c r="A26" s="8">
        <v>450036</v>
      </c>
      <c r="B26" s="9" t="s">
        <v>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1">
        <v>115</v>
      </c>
      <c r="R26" s="31">
        <f t="shared" si="0"/>
        <v>140</v>
      </c>
      <c r="S26" s="31">
        <v>165</v>
      </c>
    </row>
    <row r="27" spans="1:19" ht="9" customHeight="1" x14ac:dyDescent="0.25">
      <c r="A27" s="5">
        <v>450075</v>
      </c>
      <c r="B27" s="6" t="s">
        <v>21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30">
        <v>105</v>
      </c>
      <c r="R27" s="30">
        <f t="shared" si="0"/>
        <v>120</v>
      </c>
      <c r="S27" s="30">
        <v>135</v>
      </c>
    </row>
    <row r="28" spans="1:19" ht="9" customHeight="1" x14ac:dyDescent="0.25">
      <c r="A28" s="8">
        <v>450074</v>
      </c>
      <c r="B28" s="9" t="s">
        <v>22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1">
        <v>250</v>
      </c>
      <c r="R28" s="31">
        <f t="shared" si="0"/>
        <v>297.5</v>
      </c>
      <c r="S28" s="31">
        <v>345</v>
      </c>
    </row>
    <row r="29" spans="1:19" ht="9" customHeight="1" x14ac:dyDescent="0.25">
      <c r="A29" s="5">
        <v>450073</v>
      </c>
      <c r="B29" s="6" t="s">
        <v>23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30">
        <v>105</v>
      </c>
      <c r="R29" s="30">
        <f t="shared" si="0"/>
        <v>125</v>
      </c>
      <c r="S29" s="30">
        <v>145</v>
      </c>
    </row>
    <row r="30" spans="1:19" ht="9" customHeight="1" x14ac:dyDescent="0.25">
      <c r="A30" s="8">
        <v>450055</v>
      </c>
      <c r="B30" s="9" t="s">
        <v>24</v>
      </c>
      <c r="C30" s="3"/>
      <c r="D30" s="3"/>
      <c r="E30" s="3"/>
      <c r="F30" s="3"/>
      <c r="G30" s="3"/>
      <c r="H30" s="12" t="s">
        <v>8</v>
      </c>
      <c r="I30" s="12" t="s">
        <v>8</v>
      </c>
      <c r="J30" s="12" t="s">
        <v>8</v>
      </c>
      <c r="K30" s="12" t="s">
        <v>8</v>
      </c>
      <c r="L30" s="12" t="s">
        <v>8</v>
      </c>
      <c r="M30" s="12" t="s">
        <v>8</v>
      </c>
      <c r="N30" s="12" t="s">
        <v>8</v>
      </c>
      <c r="O30" s="12" t="s">
        <v>8</v>
      </c>
      <c r="P30" s="12" t="s">
        <v>8</v>
      </c>
      <c r="Q30" s="31">
        <v>810</v>
      </c>
      <c r="R30" s="31">
        <f t="shared" si="0"/>
        <v>960</v>
      </c>
      <c r="S30" s="36">
        <v>1110</v>
      </c>
    </row>
    <row r="31" spans="1:19" ht="9" customHeight="1" x14ac:dyDescent="0.25">
      <c r="A31" s="5">
        <v>450262</v>
      </c>
      <c r="B31" s="6" t="s">
        <v>25</v>
      </c>
      <c r="C31" s="7"/>
      <c r="D31" s="7"/>
      <c r="E31" s="7"/>
      <c r="F31" s="7"/>
      <c r="G31" s="7"/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  <c r="O31" s="13" t="s">
        <v>8</v>
      </c>
      <c r="P31" s="13" t="s">
        <v>8</v>
      </c>
      <c r="Q31" s="30">
        <v>1265</v>
      </c>
      <c r="R31" s="30">
        <f t="shared" si="0"/>
        <v>1502.5</v>
      </c>
      <c r="S31" s="30">
        <v>1740</v>
      </c>
    </row>
    <row r="32" spans="1:19" ht="9" customHeight="1" x14ac:dyDescent="0.25">
      <c r="A32" s="8">
        <v>450271</v>
      </c>
      <c r="B32" s="9" t="s">
        <v>26</v>
      </c>
      <c r="C32" s="3"/>
      <c r="D32" s="3"/>
      <c r="E32" s="3"/>
      <c r="F32" s="3"/>
      <c r="G32" s="3"/>
      <c r="H32" s="12" t="s">
        <v>8</v>
      </c>
      <c r="I32" s="12" t="s">
        <v>8</v>
      </c>
      <c r="J32" s="12" t="s">
        <v>8</v>
      </c>
      <c r="K32" s="12" t="s">
        <v>8</v>
      </c>
      <c r="L32" s="12" t="s">
        <v>8</v>
      </c>
      <c r="M32" s="12" t="s">
        <v>8</v>
      </c>
      <c r="N32" s="12" t="s">
        <v>8</v>
      </c>
      <c r="O32" s="12" t="s">
        <v>8</v>
      </c>
      <c r="P32" s="12" t="s">
        <v>8</v>
      </c>
      <c r="Q32" s="31">
        <v>470</v>
      </c>
      <c r="R32" s="31">
        <f t="shared" si="0"/>
        <v>555</v>
      </c>
      <c r="S32" s="31">
        <v>640</v>
      </c>
    </row>
    <row r="33" spans="1:19" ht="9" customHeight="1" x14ac:dyDescent="0.25">
      <c r="A33" s="5">
        <v>450348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30">
        <v>30</v>
      </c>
      <c r="R33" s="30">
        <f t="shared" si="0"/>
        <v>37.5</v>
      </c>
      <c r="S33" s="30">
        <v>45</v>
      </c>
    </row>
    <row r="34" spans="1:19" ht="9" customHeight="1" x14ac:dyDescent="0.25">
      <c r="A34" s="8">
        <v>450565</v>
      </c>
      <c r="B34" s="9" t="s">
        <v>28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6">
        <v>2810</v>
      </c>
      <c r="R34" s="31">
        <f t="shared" si="0"/>
        <v>3330</v>
      </c>
      <c r="S34" s="37">
        <v>3850</v>
      </c>
    </row>
    <row r="35" spans="1:19" ht="9" customHeight="1" x14ac:dyDescent="0.25">
      <c r="A35" s="5">
        <v>450566</v>
      </c>
      <c r="B35" s="6" t="s">
        <v>29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30">
        <v>3115</v>
      </c>
      <c r="R35" s="30">
        <f t="shared" si="0"/>
        <v>3700</v>
      </c>
      <c r="S35" s="30">
        <v>4285</v>
      </c>
    </row>
    <row r="36" spans="1:19" ht="9" customHeight="1" x14ac:dyDescent="0.25">
      <c r="A36" s="8">
        <v>450623</v>
      </c>
      <c r="B36" s="9" t="s">
        <v>30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1">
        <v>105</v>
      </c>
      <c r="R36" s="31">
        <f t="shared" si="0"/>
        <v>120</v>
      </c>
      <c r="S36" s="31">
        <v>135</v>
      </c>
    </row>
    <row r="37" spans="1:19" ht="9" customHeight="1" x14ac:dyDescent="0.25">
      <c r="A37" s="5">
        <v>450635</v>
      </c>
      <c r="B37" s="6" t="s">
        <v>31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30">
        <v>115</v>
      </c>
      <c r="R37" s="30">
        <f t="shared" si="0"/>
        <v>132.5</v>
      </c>
      <c r="S37" s="30">
        <v>150</v>
      </c>
    </row>
    <row r="38" spans="1:19" ht="9" customHeight="1" x14ac:dyDescent="0.25">
      <c r="A38" s="8">
        <v>450687</v>
      </c>
      <c r="B38" s="9" t="s">
        <v>32</v>
      </c>
      <c r="C38" s="3"/>
      <c r="D38" s="3"/>
      <c r="E38" s="3"/>
      <c r="F38" s="3"/>
      <c r="G38" s="3"/>
      <c r="H38" s="12" t="s">
        <v>8</v>
      </c>
      <c r="I38" s="12" t="s">
        <v>8</v>
      </c>
      <c r="J38" s="12" t="s">
        <v>8</v>
      </c>
      <c r="K38" s="12" t="s">
        <v>8</v>
      </c>
      <c r="L38" s="12" t="s">
        <v>8</v>
      </c>
      <c r="M38" s="12" t="s">
        <v>8</v>
      </c>
      <c r="N38" s="12" t="s">
        <v>8</v>
      </c>
      <c r="O38" s="12" t="s">
        <v>8</v>
      </c>
      <c r="P38" s="12" t="s">
        <v>8</v>
      </c>
      <c r="Q38" s="31">
        <v>115</v>
      </c>
      <c r="R38" s="31">
        <f t="shared" si="0"/>
        <v>132.5</v>
      </c>
      <c r="S38" s="31">
        <v>150</v>
      </c>
    </row>
    <row r="39" spans="1:19" ht="9" customHeight="1" x14ac:dyDescent="0.25">
      <c r="A39" s="5">
        <v>450712</v>
      </c>
      <c r="B39" s="6" t="s">
        <v>33</v>
      </c>
      <c r="C39" s="7"/>
      <c r="D39" s="7"/>
      <c r="E39" s="7"/>
      <c r="F39" s="7"/>
      <c r="G39" s="7"/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  <c r="O39" s="13" t="s">
        <v>8</v>
      </c>
      <c r="P39" s="13" t="s">
        <v>8</v>
      </c>
      <c r="Q39" s="30">
        <v>70</v>
      </c>
      <c r="R39" s="30">
        <f t="shared" si="0"/>
        <v>80</v>
      </c>
      <c r="S39" s="30">
        <v>90</v>
      </c>
    </row>
    <row r="40" spans="1:19" ht="9" customHeight="1" x14ac:dyDescent="0.25">
      <c r="A40" s="8">
        <v>450264</v>
      </c>
      <c r="B40" s="9" t="s">
        <v>34</v>
      </c>
      <c r="C40" s="12" t="s">
        <v>8</v>
      </c>
      <c r="D40" s="12" t="s">
        <v>8</v>
      </c>
      <c r="E40" s="12" t="s">
        <v>8</v>
      </c>
      <c r="F40" s="12" t="s">
        <v>8</v>
      </c>
      <c r="G40" s="12" t="s">
        <v>8</v>
      </c>
      <c r="H40" s="12" t="s">
        <v>8</v>
      </c>
      <c r="I40" s="12" t="s">
        <v>8</v>
      </c>
      <c r="J40" s="12" t="s">
        <v>8</v>
      </c>
      <c r="K40" s="3"/>
      <c r="L40" s="3"/>
      <c r="M40" s="3"/>
      <c r="N40" s="3"/>
      <c r="O40" s="3"/>
      <c r="P40" s="3"/>
      <c r="Q40" s="31">
        <v>50</v>
      </c>
      <c r="R40" s="31">
        <f t="shared" si="0"/>
        <v>62.5</v>
      </c>
      <c r="S40" s="31">
        <v>75</v>
      </c>
    </row>
    <row r="41" spans="1:19" ht="9" customHeight="1" x14ac:dyDescent="0.25">
      <c r="A41" s="14">
        <v>450681</v>
      </c>
      <c r="B41" s="6" t="s">
        <v>35</v>
      </c>
      <c r="C41" s="7"/>
      <c r="D41" s="13" t="s">
        <v>8</v>
      </c>
      <c r="E41" s="13" t="s">
        <v>8</v>
      </c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  <c r="O41" s="13" t="s">
        <v>8</v>
      </c>
      <c r="P41" s="13" t="s">
        <v>8</v>
      </c>
      <c r="Q41" s="30">
        <v>135</v>
      </c>
      <c r="R41" s="30">
        <f t="shared" si="0"/>
        <v>172.5</v>
      </c>
      <c r="S41" s="30">
        <v>210</v>
      </c>
    </row>
    <row r="42" spans="1:19" ht="9" customHeight="1" x14ac:dyDescent="0.25">
      <c r="A42" s="8">
        <v>450743</v>
      </c>
      <c r="B42" s="9" t="s">
        <v>36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1">
        <v>205</v>
      </c>
      <c r="R42" s="31">
        <f t="shared" si="0"/>
        <v>257.5</v>
      </c>
      <c r="S42" s="31">
        <v>310</v>
      </c>
    </row>
    <row r="43" spans="1:19" ht="9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30"/>
      <c r="R43" s="30"/>
      <c r="S43" s="30"/>
    </row>
    <row r="44" spans="1:19" ht="9" customHeight="1" x14ac:dyDescent="0.25">
      <c r="A44" s="3"/>
      <c r="B44" s="4" t="s">
        <v>37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1"/>
      <c r="R44" s="31"/>
      <c r="S44" s="31"/>
    </row>
    <row r="45" spans="1:19" ht="9" customHeight="1" x14ac:dyDescent="0.25">
      <c r="A45" s="5">
        <v>450008</v>
      </c>
      <c r="B45" s="6" t="s">
        <v>38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30">
        <v>425</v>
      </c>
      <c r="R45" s="30">
        <f t="shared" ref="R45:R55" si="1">((S45-Q45)/2)+Q45</f>
        <v>502.5</v>
      </c>
      <c r="S45" s="30">
        <v>580</v>
      </c>
    </row>
    <row r="46" spans="1:19" ht="9" customHeight="1" x14ac:dyDescent="0.25">
      <c r="A46" s="8">
        <v>450009</v>
      </c>
      <c r="B46" s="9" t="s">
        <v>39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1">
        <v>130</v>
      </c>
      <c r="R46" s="31">
        <f t="shared" si="1"/>
        <v>152.5</v>
      </c>
      <c r="S46" s="31">
        <v>175</v>
      </c>
    </row>
    <row r="47" spans="1:19" ht="9" customHeight="1" x14ac:dyDescent="0.25">
      <c r="A47" s="5">
        <v>450281</v>
      </c>
      <c r="B47" s="6" t="s">
        <v>40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30">
        <v>270</v>
      </c>
      <c r="R47" s="30">
        <f t="shared" si="1"/>
        <v>317.5</v>
      </c>
      <c r="S47" s="30">
        <v>365</v>
      </c>
    </row>
    <row r="48" spans="1:19" ht="9" customHeight="1" x14ac:dyDescent="0.25">
      <c r="A48" s="8">
        <v>450001</v>
      </c>
      <c r="B48" s="9" t="s">
        <v>41</v>
      </c>
      <c r="C48" s="3"/>
      <c r="D48" s="3"/>
      <c r="E48" s="3"/>
      <c r="F48" s="3"/>
      <c r="G48" s="3"/>
      <c r="H48" s="12" t="s">
        <v>8</v>
      </c>
      <c r="I48" s="12" t="s">
        <v>8</v>
      </c>
      <c r="J48" s="12" t="s">
        <v>8</v>
      </c>
      <c r="K48" s="12" t="s">
        <v>8</v>
      </c>
      <c r="L48" s="12" t="s">
        <v>8</v>
      </c>
      <c r="M48" s="12" t="s">
        <v>8</v>
      </c>
      <c r="N48" s="12" t="s">
        <v>8</v>
      </c>
      <c r="O48" s="12" t="s">
        <v>8</v>
      </c>
      <c r="P48" s="12" t="s">
        <v>8</v>
      </c>
      <c r="Q48" s="31">
        <v>990</v>
      </c>
      <c r="R48" s="31">
        <f t="shared" si="1"/>
        <v>1175</v>
      </c>
      <c r="S48" s="36">
        <v>1360</v>
      </c>
    </row>
    <row r="49" spans="1:19" ht="9" customHeight="1" x14ac:dyDescent="0.25">
      <c r="A49" s="5">
        <v>450104</v>
      </c>
      <c r="B49" s="6" t="s">
        <v>41</v>
      </c>
      <c r="C49" s="13" t="s">
        <v>8</v>
      </c>
      <c r="D49" s="13" t="s">
        <v>8</v>
      </c>
      <c r="E49" s="13" t="s">
        <v>8</v>
      </c>
      <c r="F49" s="13" t="s">
        <v>8</v>
      </c>
      <c r="G49" s="13" t="s">
        <v>8</v>
      </c>
      <c r="H49" s="7"/>
      <c r="I49" s="7"/>
      <c r="J49" s="7"/>
      <c r="K49" s="7"/>
      <c r="L49" s="7"/>
      <c r="M49" s="7"/>
      <c r="N49" s="7"/>
      <c r="O49" s="7"/>
      <c r="P49" s="7"/>
      <c r="Q49" s="30">
        <v>420</v>
      </c>
      <c r="R49" s="30">
        <f t="shared" si="1"/>
        <v>500</v>
      </c>
      <c r="S49" s="30">
        <v>580</v>
      </c>
    </row>
    <row r="50" spans="1:19" ht="9" customHeight="1" x14ac:dyDescent="0.25">
      <c r="A50" s="15">
        <v>450300</v>
      </c>
      <c r="B50" s="9" t="s">
        <v>42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6">
        <v>2915</v>
      </c>
      <c r="R50" s="31">
        <f t="shared" si="1"/>
        <v>3455</v>
      </c>
      <c r="S50" s="36">
        <v>3995</v>
      </c>
    </row>
    <row r="51" spans="1:19" ht="9" customHeight="1" x14ac:dyDescent="0.25">
      <c r="A51" s="5">
        <v>450301</v>
      </c>
      <c r="B51" s="6" t="s">
        <v>43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30">
        <v>2880</v>
      </c>
      <c r="R51" s="30">
        <f t="shared" si="1"/>
        <v>3417.5</v>
      </c>
      <c r="S51" s="30">
        <v>3955</v>
      </c>
    </row>
    <row r="52" spans="1:19" ht="9" customHeight="1" x14ac:dyDescent="0.25">
      <c r="A52" s="8">
        <v>450353</v>
      </c>
      <c r="B52" s="9" t="s">
        <v>44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6">
        <v>2235</v>
      </c>
      <c r="R52" s="31">
        <f t="shared" si="1"/>
        <v>2652.5</v>
      </c>
      <c r="S52" s="37">
        <v>3070</v>
      </c>
    </row>
    <row r="53" spans="1:19" ht="9" customHeight="1" x14ac:dyDescent="0.25">
      <c r="A53" s="5">
        <v>452010</v>
      </c>
      <c r="B53" s="6" t="s">
        <v>45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30">
        <v>635</v>
      </c>
      <c r="R53" s="30">
        <f t="shared" si="1"/>
        <v>755</v>
      </c>
      <c r="S53" s="30">
        <v>875</v>
      </c>
    </row>
    <row r="54" spans="1:19" ht="9" customHeight="1" x14ac:dyDescent="0.25">
      <c r="A54" s="8">
        <v>450852</v>
      </c>
      <c r="B54" s="9" t="s">
        <v>46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1">
        <v>795</v>
      </c>
      <c r="R54" s="31">
        <f t="shared" si="1"/>
        <v>912.5</v>
      </c>
      <c r="S54" s="36">
        <v>1030</v>
      </c>
    </row>
    <row r="55" spans="1:19" ht="9" customHeight="1" x14ac:dyDescent="0.25">
      <c r="A55" s="5">
        <v>450854</v>
      </c>
      <c r="B55" s="6" t="s">
        <v>47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30">
        <v>395</v>
      </c>
      <c r="R55" s="30">
        <f t="shared" si="1"/>
        <v>435</v>
      </c>
      <c r="S55" s="30">
        <v>475</v>
      </c>
    </row>
    <row r="56" spans="1:19" ht="8.5500000000000007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40"/>
      <c r="R56" s="40"/>
      <c r="S56" s="40"/>
    </row>
    <row r="57" spans="1:19" ht="9" customHeight="1" x14ac:dyDescent="0.25">
      <c r="A57" s="7"/>
      <c r="B57" s="16" t="s">
        <v>48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30"/>
      <c r="R57" s="30"/>
      <c r="S57" s="30"/>
    </row>
    <row r="58" spans="1:19" ht="9" customHeight="1" x14ac:dyDescent="0.25">
      <c r="A58" s="8">
        <v>450054</v>
      </c>
      <c r="B58" s="9" t="s">
        <v>49</v>
      </c>
      <c r="C58" s="12" t="s">
        <v>8</v>
      </c>
      <c r="D58" s="12" t="s">
        <v>8</v>
      </c>
      <c r="E58" s="12" t="s">
        <v>8</v>
      </c>
      <c r="F58" s="12" t="s">
        <v>8</v>
      </c>
      <c r="G58" s="3"/>
      <c r="H58" s="12" t="s">
        <v>8</v>
      </c>
      <c r="I58" s="12" t="s">
        <v>8</v>
      </c>
      <c r="J58" s="12" t="s">
        <v>8</v>
      </c>
      <c r="K58" s="12" t="s">
        <v>8</v>
      </c>
      <c r="L58" s="12" t="s">
        <v>8</v>
      </c>
      <c r="M58" s="12" t="s">
        <v>8</v>
      </c>
      <c r="N58" s="12" t="s">
        <v>8</v>
      </c>
      <c r="O58" s="12" t="s">
        <v>8</v>
      </c>
      <c r="P58" s="12" t="s">
        <v>8</v>
      </c>
      <c r="Q58" s="31">
        <v>490</v>
      </c>
      <c r="R58" s="31">
        <f>((S58-Q58)/2)+Q58</f>
        <v>582.5</v>
      </c>
      <c r="S58" s="31">
        <v>675</v>
      </c>
    </row>
    <row r="59" spans="1:19" ht="9" customHeight="1" x14ac:dyDescent="0.25">
      <c r="A59" s="5">
        <v>450093</v>
      </c>
      <c r="B59" s="6" t="s">
        <v>49</v>
      </c>
      <c r="C59" s="7"/>
      <c r="D59" s="7"/>
      <c r="E59" s="7"/>
      <c r="F59" s="7"/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  <c r="O59" s="13" t="s">
        <v>8</v>
      </c>
      <c r="P59" s="13" t="s">
        <v>8</v>
      </c>
      <c r="Q59" s="30">
        <v>545</v>
      </c>
      <c r="R59" s="30">
        <f>((S59-Q59)/2)+Q59</f>
        <v>650</v>
      </c>
      <c r="S59" s="30">
        <v>755</v>
      </c>
    </row>
    <row r="60" spans="1:19" ht="9" customHeight="1" x14ac:dyDescent="0.25">
      <c r="A60" s="8">
        <v>450295</v>
      </c>
      <c r="B60" s="9" t="s">
        <v>50</v>
      </c>
      <c r="C60" s="12" t="s">
        <v>8</v>
      </c>
      <c r="D60" s="12" t="s">
        <v>8</v>
      </c>
      <c r="E60" s="12" t="s">
        <v>8</v>
      </c>
      <c r="F60" s="12" t="s">
        <v>8</v>
      </c>
      <c r="G60" s="12" t="s">
        <v>8</v>
      </c>
      <c r="H60" s="12" t="s">
        <v>8</v>
      </c>
      <c r="I60" s="12" t="s">
        <v>8</v>
      </c>
      <c r="J60" s="12" t="s">
        <v>8</v>
      </c>
      <c r="K60" s="12" t="s">
        <v>8</v>
      </c>
      <c r="L60" s="12" t="s">
        <v>8</v>
      </c>
      <c r="M60" s="12" t="s">
        <v>8</v>
      </c>
      <c r="N60" s="3"/>
      <c r="O60" s="3"/>
      <c r="P60" s="3"/>
      <c r="Q60" s="38">
        <v>3085</v>
      </c>
      <c r="R60" s="31">
        <f>((S60-Q60)/2)+Q60</f>
        <v>3657.5</v>
      </c>
      <c r="S60" s="36">
        <v>4230</v>
      </c>
    </row>
    <row r="61" spans="1:19" ht="9" customHeight="1" x14ac:dyDescent="0.25">
      <c r="A61" s="5">
        <v>450602</v>
      </c>
      <c r="B61" s="6" t="s">
        <v>51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13" t="s">
        <v>8</v>
      </c>
      <c r="O61" s="13" t="s">
        <v>8</v>
      </c>
      <c r="P61" s="13" t="s">
        <v>8</v>
      </c>
      <c r="Q61" s="30">
        <v>2385</v>
      </c>
      <c r="R61" s="30">
        <f>((S61-Q61)/2)+Q61</f>
        <v>2652.5</v>
      </c>
      <c r="S61" s="30">
        <v>2920</v>
      </c>
    </row>
    <row r="62" spans="1:19" ht="9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1">
        <v>0</v>
      </c>
      <c r="R62" s="31"/>
      <c r="S62" s="31">
        <v>0</v>
      </c>
    </row>
    <row r="63" spans="1:19" ht="9" customHeight="1" x14ac:dyDescent="0.25">
      <c r="A63" s="7"/>
      <c r="B63" s="16" t="s">
        <v>52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30">
        <v>0</v>
      </c>
      <c r="R63" s="30"/>
      <c r="S63" s="30">
        <v>0</v>
      </c>
    </row>
    <row r="64" spans="1:19" ht="9" customHeight="1" x14ac:dyDescent="0.25">
      <c r="A64" s="8">
        <v>450143</v>
      </c>
      <c r="B64" s="9" t="s">
        <v>53</v>
      </c>
      <c r="C64" s="12" t="s">
        <v>8</v>
      </c>
      <c r="D64" s="12" t="s">
        <v>8</v>
      </c>
      <c r="E64" s="12" t="s">
        <v>8</v>
      </c>
      <c r="F64" s="12" t="s">
        <v>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1">
        <v>265</v>
      </c>
      <c r="R64" s="31">
        <f t="shared" ref="R64:R82" si="2">((S64-Q64)/2)+Q64</f>
        <v>315</v>
      </c>
      <c r="S64" s="31">
        <v>365</v>
      </c>
    </row>
    <row r="65" spans="1:19" ht="9" customHeight="1" x14ac:dyDescent="0.25">
      <c r="A65" s="5">
        <v>450065</v>
      </c>
      <c r="B65" s="6" t="s">
        <v>54</v>
      </c>
      <c r="C65" s="13" t="s">
        <v>8</v>
      </c>
      <c r="D65" s="13" t="s">
        <v>8</v>
      </c>
      <c r="E65" s="13" t="s">
        <v>8</v>
      </c>
      <c r="F65" s="13" t="s">
        <v>8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30">
        <v>525</v>
      </c>
      <c r="R65" s="30">
        <f t="shared" si="2"/>
        <v>622.5</v>
      </c>
      <c r="S65" s="30">
        <v>720</v>
      </c>
    </row>
    <row r="66" spans="1:19" ht="9" customHeight="1" x14ac:dyDescent="0.25">
      <c r="A66" s="8">
        <v>450122</v>
      </c>
      <c r="B66" s="9" t="s">
        <v>55</v>
      </c>
      <c r="C66" s="3"/>
      <c r="D66" s="3"/>
      <c r="E66" s="3"/>
      <c r="F66" s="3"/>
      <c r="G66" s="12" t="s">
        <v>8</v>
      </c>
      <c r="H66" s="12" t="s">
        <v>8</v>
      </c>
      <c r="I66" s="12" t="s">
        <v>8</v>
      </c>
      <c r="J66" s="12" t="s">
        <v>8</v>
      </c>
      <c r="K66" s="12" t="s">
        <v>8</v>
      </c>
      <c r="L66" s="12" t="s">
        <v>8</v>
      </c>
      <c r="M66" s="12" t="s">
        <v>8</v>
      </c>
      <c r="N66" s="12" t="s">
        <v>8</v>
      </c>
      <c r="O66" s="12" t="s">
        <v>8</v>
      </c>
      <c r="P66" s="12" t="s">
        <v>8</v>
      </c>
      <c r="Q66" s="31">
        <v>380</v>
      </c>
      <c r="R66" s="31">
        <f t="shared" si="2"/>
        <v>452.5</v>
      </c>
      <c r="S66" s="31">
        <v>525</v>
      </c>
    </row>
    <row r="67" spans="1:19" ht="9" customHeight="1" x14ac:dyDescent="0.25">
      <c r="A67" s="5">
        <v>450015</v>
      </c>
      <c r="B67" s="6" t="s">
        <v>56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13" t="s">
        <v>8</v>
      </c>
      <c r="N67" s="13" t="s">
        <v>8</v>
      </c>
      <c r="O67" s="13" t="s">
        <v>8</v>
      </c>
      <c r="P67" s="13" t="s">
        <v>8</v>
      </c>
      <c r="Q67" s="30">
        <v>685</v>
      </c>
      <c r="R67" s="30">
        <f t="shared" si="2"/>
        <v>817.5</v>
      </c>
      <c r="S67" s="30">
        <v>950</v>
      </c>
    </row>
    <row r="68" spans="1:19" ht="9" customHeight="1" x14ac:dyDescent="0.25">
      <c r="A68" s="8">
        <v>450237</v>
      </c>
      <c r="B68" s="9" t="s">
        <v>56</v>
      </c>
      <c r="C68" s="12" t="s">
        <v>8</v>
      </c>
      <c r="D68" s="12" t="s">
        <v>8</v>
      </c>
      <c r="E68" s="12" t="s">
        <v>8</v>
      </c>
      <c r="F68" s="12" t="s">
        <v>8</v>
      </c>
      <c r="G68" s="12" t="s">
        <v>8</v>
      </c>
      <c r="H68" s="12" t="s">
        <v>8</v>
      </c>
      <c r="I68" s="12" t="s">
        <v>8</v>
      </c>
      <c r="J68" s="12" t="s">
        <v>8</v>
      </c>
      <c r="K68" s="12" t="s">
        <v>8</v>
      </c>
      <c r="L68" s="12" t="s">
        <v>8</v>
      </c>
      <c r="M68" s="3"/>
      <c r="N68" s="3"/>
      <c r="O68" s="3"/>
      <c r="P68" s="3"/>
      <c r="Q68" s="31">
        <v>400</v>
      </c>
      <c r="R68" s="31">
        <f t="shared" si="2"/>
        <v>472.5</v>
      </c>
      <c r="S68" s="31">
        <v>545</v>
      </c>
    </row>
    <row r="69" spans="1:19" ht="9" customHeight="1" x14ac:dyDescent="0.25">
      <c r="A69" s="5">
        <v>450016</v>
      </c>
      <c r="B69" s="6" t="s">
        <v>57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13" t="s">
        <v>8</v>
      </c>
      <c r="N69" s="13" t="s">
        <v>8</v>
      </c>
      <c r="O69" s="13" t="s">
        <v>8</v>
      </c>
      <c r="P69" s="13" t="s">
        <v>8</v>
      </c>
      <c r="Q69" s="30">
        <v>445</v>
      </c>
      <c r="R69" s="30">
        <f t="shared" si="2"/>
        <v>525</v>
      </c>
      <c r="S69" s="30">
        <v>605</v>
      </c>
    </row>
    <row r="70" spans="1:19" ht="9" customHeight="1" x14ac:dyDescent="0.25">
      <c r="A70" s="8">
        <v>450238</v>
      </c>
      <c r="B70" s="9" t="s">
        <v>57</v>
      </c>
      <c r="C70" s="12" t="s">
        <v>8</v>
      </c>
      <c r="D70" s="12" t="s">
        <v>8</v>
      </c>
      <c r="E70" s="12" t="s">
        <v>8</v>
      </c>
      <c r="F70" s="12" t="s">
        <v>8</v>
      </c>
      <c r="G70" s="12" t="s">
        <v>8</v>
      </c>
      <c r="H70" s="12" t="s">
        <v>8</v>
      </c>
      <c r="I70" s="12" t="s">
        <v>8</v>
      </c>
      <c r="J70" s="12" t="s">
        <v>8</v>
      </c>
      <c r="K70" s="12" t="s">
        <v>8</v>
      </c>
      <c r="L70" s="12" t="s">
        <v>8</v>
      </c>
      <c r="M70" s="3"/>
      <c r="N70" s="3"/>
      <c r="O70" s="3"/>
      <c r="P70" s="3"/>
      <c r="Q70" s="31">
        <v>400</v>
      </c>
      <c r="R70" s="31">
        <f t="shared" si="2"/>
        <v>472.5</v>
      </c>
      <c r="S70" s="31">
        <v>545</v>
      </c>
    </row>
    <row r="71" spans="1:19" ht="9" customHeight="1" x14ac:dyDescent="0.25">
      <c r="A71" s="5">
        <v>450017</v>
      </c>
      <c r="B71" s="6" t="s">
        <v>58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30">
        <v>445</v>
      </c>
      <c r="R71" s="30">
        <f t="shared" si="2"/>
        <v>525</v>
      </c>
      <c r="S71" s="30">
        <v>605</v>
      </c>
    </row>
    <row r="72" spans="1:19" ht="9" customHeight="1" x14ac:dyDescent="0.25">
      <c r="A72" s="8">
        <v>450057</v>
      </c>
      <c r="B72" s="9" t="s">
        <v>59</v>
      </c>
      <c r="C72" s="3"/>
      <c r="D72" s="3"/>
      <c r="E72" s="3"/>
      <c r="F72" s="3"/>
      <c r="G72" s="12" t="s">
        <v>8</v>
      </c>
      <c r="H72" s="12" t="s">
        <v>8</v>
      </c>
      <c r="I72" s="12" t="s">
        <v>8</v>
      </c>
      <c r="J72" s="12" t="s">
        <v>8</v>
      </c>
      <c r="K72" s="12" t="s">
        <v>8</v>
      </c>
      <c r="L72" s="12" t="s">
        <v>8</v>
      </c>
      <c r="M72" s="12" t="s">
        <v>8</v>
      </c>
      <c r="N72" s="12" t="s">
        <v>8</v>
      </c>
      <c r="O72" s="12" t="s">
        <v>8</v>
      </c>
      <c r="P72" s="12" t="s">
        <v>8</v>
      </c>
      <c r="Q72" s="31">
        <v>365</v>
      </c>
      <c r="R72" s="31">
        <f t="shared" si="2"/>
        <v>427.5</v>
      </c>
      <c r="S72" s="31">
        <v>490</v>
      </c>
    </row>
    <row r="73" spans="1:19" ht="9" customHeight="1" x14ac:dyDescent="0.25">
      <c r="A73" s="5">
        <v>450058</v>
      </c>
      <c r="B73" s="6" t="s">
        <v>60</v>
      </c>
      <c r="C73" s="13" t="s">
        <v>8</v>
      </c>
      <c r="D73" s="13" t="s">
        <v>8</v>
      </c>
      <c r="E73" s="13" t="s">
        <v>8</v>
      </c>
      <c r="F73" s="13" t="s">
        <v>8</v>
      </c>
      <c r="G73" s="7"/>
      <c r="H73" s="7"/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  <c r="O73" s="13" t="s">
        <v>8</v>
      </c>
      <c r="P73" s="13" t="s">
        <v>8</v>
      </c>
      <c r="Q73" s="30">
        <v>425</v>
      </c>
      <c r="R73" s="30">
        <f t="shared" si="2"/>
        <v>505</v>
      </c>
      <c r="S73" s="30">
        <v>585</v>
      </c>
    </row>
    <row r="74" spans="1:19" ht="9" customHeight="1" x14ac:dyDescent="0.25">
      <c r="A74" s="8">
        <v>450109</v>
      </c>
      <c r="B74" s="9" t="s">
        <v>60</v>
      </c>
      <c r="C74" s="12" t="s">
        <v>8</v>
      </c>
      <c r="D74" s="12" t="s">
        <v>8</v>
      </c>
      <c r="E74" s="12" t="s">
        <v>8</v>
      </c>
      <c r="F74" s="12" t="s">
        <v>8</v>
      </c>
      <c r="G74" s="12" t="s">
        <v>8</v>
      </c>
      <c r="H74" s="12" t="s">
        <v>8</v>
      </c>
      <c r="I74" s="3"/>
      <c r="J74" s="3"/>
      <c r="K74" s="3"/>
      <c r="L74" s="3"/>
      <c r="M74" s="12" t="s">
        <v>8</v>
      </c>
      <c r="N74" s="12" t="s">
        <v>8</v>
      </c>
      <c r="O74" s="12" t="s">
        <v>8</v>
      </c>
      <c r="P74" s="12" t="s">
        <v>8</v>
      </c>
      <c r="Q74" s="31">
        <v>425</v>
      </c>
      <c r="R74" s="31">
        <f t="shared" si="2"/>
        <v>505</v>
      </c>
      <c r="S74" s="31">
        <v>585</v>
      </c>
    </row>
    <row r="75" spans="1:19" ht="9" customHeight="1" x14ac:dyDescent="0.25">
      <c r="A75" s="5">
        <v>450235</v>
      </c>
      <c r="B75" s="6" t="s">
        <v>59</v>
      </c>
      <c r="C75" s="13" t="s">
        <v>8</v>
      </c>
      <c r="D75" s="13" t="s">
        <v>8</v>
      </c>
      <c r="E75" s="13" t="s">
        <v>8</v>
      </c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7"/>
      <c r="N75" s="7"/>
      <c r="O75" s="7"/>
      <c r="P75" s="7"/>
      <c r="Q75" s="30">
        <v>400</v>
      </c>
      <c r="R75" s="30">
        <f t="shared" si="2"/>
        <v>472.5</v>
      </c>
      <c r="S75" s="30">
        <v>545</v>
      </c>
    </row>
    <row r="76" spans="1:19" ht="9" customHeight="1" x14ac:dyDescent="0.25">
      <c r="A76" s="8">
        <v>450046</v>
      </c>
      <c r="B76" s="9" t="s">
        <v>61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1">
        <v>50</v>
      </c>
      <c r="R76" s="31">
        <f t="shared" si="2"/>
        <v>60</v>
      </c>
      <c r="S76" s="31">
        <v>70</v>
      </c>
    </row>
    <row r="77" spans="1:19" ht="9" customHeight="1" x14ac:dyDescent="0.25">
      <c r="A77" s="5">
        <v>450041</v>
      </c>
      <c r="B77" s="6" t="s">
        <v>62</v>
      </c>
      <c r="C77" s="13" t="s">
        <v>8</v>
      </c>
      <c r="D77" s="13" t="s">
        <v>8</v>
      </c>
      <c r="E77" s="13" t="s">
        <v>8</v>
      </c>
      <c r="F77" s="13" t="s">
        <v>8</v>
      </c>
      <c r="G77" s="13" t="s">
        <v>8</v>
      </c>
      <c r="H77" s="7"/>
      <c r="I77" s="7"/>
      <c r="J77" s="7"/>
      <c r="K77" s="7"/>
      <c r="L77" s="7"/>
      <c r="M77" s="7"/>
      <c r="N77" s="7"/>
      <c r="O77" s="7"/>
      <c r="P77" s="7"/>
      <c r="Q77" s="30">
        <v>65</v>
      </c>
      <c r="R77" s="30">
        <f t="shared" si="2"/>
        <v>75</v>
      </c>
      <c r="S77" s="30">
        <v>85</v>
      </c>
    </row>
    <row r="78" spans="1:19" ht="9" customHeight="1" x14ac:dyDescent="0.25">
      <c r="A78" s="8">
        <v>450024</v>
      </c>
      <c r="B78" s="9" t="s">
        <v>63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1">
        <v>270</v>
      </c>
      <c r="R78" s="31">
        <f t="shared" si="2"/>
        <v>320</v>
      </c>
      <c r="S78" s="31">
        <v>370</v>
      </c>
    </row>
    <row r="79" spans="1:19" ht="9" customHeight="1" x14ac:dyDescent="0.25">
      <c r="A79" s="5">
        <v>450679</v>
      </c>
      <c r="B79" s="6" t="s">
        <v>64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13" t="s">
        <v>8</v>
      </c>
      <c r="N79" s="13" t="s">
        <v>8</v>
      </c>
      <c r="O79" s="13" t="s">
        <v>8</v>
      </c>
      <c r="P79" s="13" t="s">
        <v>8</v>
      </c>
      <c r="Q79" s="30">
        <v>325</v>
      </c>
      <c r="R79" s="30">
        <f t="shared" si="2"/>
        <v>382.5</v>
      </c>
      <c r="S79" s="30">
        <v>440</v>
      </c>
    </row>
    <row r="80" spans="1:19" ht="9" customHeight="1" x14ac:dyDescent="0.25">
      <c r="A80" s="8">
        <v>450695</v>
      </c>
      <c r="B80" s="9" t="s">
        <v>64</v>
      </c>
      <c r="C80" s="12" t="s">
        <v>8</v>
      </c>
      <c r="D80" s="12" t="s">
        <v>8</v>
      </c>
      <c r="E80" s="12" t="s">
        <v>8</v>
      </c>
      <c r="F80" s="12" t="s">
        <v>8</v>
      </c>
      <c r="G80" s="12" t="s">
        <v>8</v>
      </c>
      <c r="H80" s="12" t="s">
        <v>8</v>
      </c>
      <c r="I80" s="12" t="s">
        <v>8</v>
      </c>
      <c r="J80" s="12" t="s">
        <v>8</v>
      </c>
      <c r="K80" s="12" t="s">
        <v>8</v>
      </c>
      <c r="L80" s="12" t="s">
        <v>8</v>
      </c>
      <c r="M80" s="3"/>
      <c r="N80" s="3"/>
      <c r="O80" s="3"/>
      <c r="P80" s="3"/>
      <c r="Q80" s="31">
        <v>325</v>
      </c>
      <c r="R80" s="31">
        <f t="shared" si="2"/>
        <v>382.5</v>
      </c>
      <c r="S80" s="31">
        <v>440</v>
      </c>
    </row>
    <row r="81" spans="1:19" ht="9" customHeight="1" x14ac:dyDescent="0.25">
      <c r="A81" s="5">
        <v>450265</v>
      </c>
      <c r="B81" s="6" t="s">
        <v>65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30">
        <v>135</v>
      </c>
      <c r="R81" s="30">
        <f t="shared" si="2"/>
        <v>155</v>
      </c>
      <c r="S81" s="30">
        <v>175</v>
      </c>
    </row>
    <row r="82" spans="1:19" ht="9" customHeight="1" x14ac:dyDescent="0.25">
      <c r="A82" s="8">
        <v>450297</v>
      </c>
      <c r="B82" s="9" t="s">
        <v>66</v>
      </c>
      <c r="C82" s="12" t="s">
        <v>8</v>
      </c>
      <c r="D82" s="12" t="s">
        <v>8</v>
      </c>
      <c r="E82" s="12" t="s">
        <v>8</v>
      </c>
      <c r="F82" s="12" t="s">
        <v>8</v>
      </c>
      <c r="G82" s="12" t="s">
        <v>8</v>
      </c>
      <c r="H82" s="12" t="s">
        <v>8</v>
      </c>
      <c r="I82" s="12" t="s">
        <v>8</v>
      </c>
      <c r="J82" s="12" t="s">
        <v>8</v>
      </c>
      <c r="K82" s="12" t="s">
        <v>8</v>
      </c>
      <c r="L82" s="12" t="s">
        <v>8</v>
      </c>
      <c r="M82" s="12" t="s">
        <v>8</v>
      </c>
      <c r="N82" s="3"/>
      <c r="O82" s="3"/>
      <c r="P82" s="3"/>
      <c r="Q82" s="31">
        <v>45</v>
      </c>
      <c r="R82" s="31">
        <f t="shared" si="2"/>
        <v>55</v>
      </c>
      <c r="S82" s="31">
        <v>65</v>
      </c>
    </row>
    <row r="83" spans="1:19" ht="9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30">
        <v>0</v>
      </c>
      <c r="R83" s="30"/>
      <c r="S83" s="30">
        <v>0</v>
      </c>
    </row>
    <row r="84" spans="1:19" ht="9" customHeight="1" x14ac:dyDescent="0.25">
      <c r="A84" s="3"/>
      <c r="B84" s="4" t="s">
        <v>67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1">
        <v>0</v>
      </c>
      <c r="R84" s="31"/>
      <c r="S84" s="31">
        <v>0</v>
      </c>
    </row>
    <row r="85" spans="1:19" ht="9" customHeight="1" x14ac:dyDescent="0.25">
      <c r="A85" s="5">
        <v>450126</v>
      </c>
      <c r="B85" s="6" t="s">
        <v>68</v>
      </c>
      <c r="C85" s="13" t="s">
        <v>8</v>
      </c>
      <c r="D85" s="13" t="s">
        <v>8</v>
      </c>
      <c r="E85" s="13" t="s">
        <v>8</v>
      </c>
      <c r="F85" s="13" t="s">
        <v>8</v>
      </c>
      <c r="G85" s="13" t="s">
        <v>8</v>
      </c>
      <c r="H85" s="13" t="s">
        <v>8</v>
      </c>
      <c r="I85" s="7"/>
      <c r="J85" s="7"/>
      <c r="K85" s="7"/>
      <c r="L85" s="7"/>
      <c r="M85" s="7"/>
      <c r="N85" s="7"/>
      <c r="O85" s="7"/>
      <c r="P85" s="7"/>
      <c r="Q85" s="30">
        <v>545</v>
      </c>
      <c r="R85" s="30">
        <f t="shared" ref="R85:R96" si="3">((S85-Q85)/2)+Q85</f>
        <v>650</v>
      </c>
      <c r="S85" s="30">
        <v>755</v>
      </c>
    </row>
    <row r="86" spans="1:19" ht="9" customHeight="1" x14ac:dyDescent="0.25">
      <c r="A86" s="8">
        <v>450113</v>
      </c>
      <c r="B86" s="9" t="s">
        <v>69</v>
      </c>
      <c r="C86" s="3"/>
      <c r="D86" s="3"/>
      <c r="E86" s="3"/>
      <c r="F86" s="3"/>
      <c r="G86" s="3"/>
      <c r="H86" s="3"/>
      <c r="I86" s="12" t="s">
        <v>8</v>
      </c>
      <c r="J86" s="12" t="s">
        <v>8</v>
      </c>
      <c r="K86" s="12" t="s">
        <v>8</v>
      </c>
      <c r="L86" s="12" t="s">
        <v>8</v>
      </c>
      <c r="M86" s="12" t="s">
        <v>8</v>
      </c>
      <c r="N86" s="12" t="s">
        <v>8</v>
      </c>
      <c r="O86" s="12" t="s">
        <v>8</v>
      </c>
      <c r="P86" s="12" t="s">
        <v>8</v>
      </c>
      <c r="Q86" s="36">
        <v>1215</v>
      </c>
      <c r="R86" s="36">
        <f t="shared" si="3"/>
        <v>1445</v>
      </c>
      <c r="S86" s="36">
        <v>1675</v>
      </c>
    </row>
    <row r="87" spans="1:19" ht="9" customHeight="1" x14ac:dyDescent="0.25">
      <c r="A87" s="5">
        <v>450062</v>
      </c>
      <c r="B87" s="6" t="s">
        <v>70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0">
        <v>325</v>
      </c>
      <c r="R87" s="30">
        <f t="shared" si="3"/>
        <v>385</v>
      </c>
      <c r="S87" s="30">
        <v>445</v>
      </c>
    </row>
    <row r="88" spans="1:19" ht="9" customHeight="1" x14ac:dyDescent="0.25">
      <c r="A88" s="8">
        <v>450061</v>
      </c>
      <c r="B88" s="9" t="s">
        <v>71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1">
        <v>145</v>
      </c>
      <c r="R88" s="31">
        <f t="shared" si="3"/>
        <v>170</v>
      </c>
      <c r="S88" s="31">
        <v>195</v>
      </c>
    </row>
    <row r="89" spans="1:19" ht="9" customHeight="1" x14ac:dyDescent="0.25">
      <c r="A89" s="5">
        <v>450060</v>
      </c>
      <c r="B89" s="6" t="s">
        <v>72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30">
        <v>3490</v>
      </c>
      <c r="R89" s="30">
        <f t="shared" si="3"/>
        <v>4142.5</v>
      </c>
      <c r="S89" s="30">
        <v>4795</v>
      </c>
    </row>
    <row r="90" spans="1:19" ht="9" customHeight="1" x14ac:dyDescent="0.25">
      <c r="A90" s="8">
        <v>450059</v>
      </c>
      <c r="B90" s="9" t="s">
        <v>73</v>
      </c>
      <c r="C90" s="12" t="s">
        <v>8</v>
      </c>
      <c r="D90" s="12" t="s">
        <v>8</v>
      </c>
      <c r="E90" s="12" t="s">
        <v>8</v>
      </c>
      <c r="F90" s="12" t="s">
        <v>8</v>
      </c>
      <c r="G90" s="12" t="s">
        <v>8</v>
      </c>
      <c r="H90" s="12" t="s">
        <v>8</v>
      </c>
      <c r="I90" s="12" t="s">
        <v>8</v>
      </c>
      <c r="J90" s="12" t="s">
        <v>8</v>
      </c>
      <c r="K90" s="12" t="s">
        <v>8</v>
      </c>
      <c r="L90" s="12" t="s">
        <v>8</v>
      </c>
      <c r="M90" s="3"/>
      <c r="N90" s="3"/>
      <c r="O90" s="3"/>
      <c r="P90" s="3"/>
      <c r="Q90" s="31">
        <v>10</v>
      </c>
      <c r="R90" s="31">
        <f t="shared" si="3"/>
        <v>12.5</v>
      </c>
      <c r="S90" s="31">
        <v>15</v>
      </c>
    </row>
    <row r="91" spans="1:19" ht="9" customHeight="1" x14ac:dyDescent="0.25">
      <c r="A91" s="5">
        <v>450232</v>
      </c>
      <c r="B91" s="6" t="s">
        <v>74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13" t="s">
        <v>8</v>
      </c>
      <c r="N91" s="13" t="s">
        <v>8</v>
      </c>
      <c r="O91" s="13" t="s">
        <v>8</v>
      </c>
      <c r="P91" s="13" t="s">
        <v>8</v>
      </c>
      <c r="Q91" s="30">
        <v>95</v>
      </c>
      <c r="R91" s="30">
        <f t="shared" si="3"/>
        <v>112.5</v>
      </c>
      <c r="S91" s="30">
        <v>130</v>
      </c>
    </row>
    <row r="92" spans="1:19" ht="9" customHeight="1" x14ac:dyDescent="0.25">
      <c r="A92" s="8">
        <v>450138</v>
      </c>
      <c r="B92" s="9" t="s">
        <v>75</v>
      </c>
      <c r="C92" s="12" t="s">
        <v>8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1">
        <v>460</v>
      </c>
      <c r="R92" s="31">
        <f t="shared" si="3"/>
        <v>542.5</v>
      </c>
      <c r="S92" s="31">
        <v>625</v>
      </c>
    </row>
    <row r="93" spans="1:19" ht="9" customHeight="1" x14ac:dyDescent="0.25">
      <c r="A93" s="5">
        <v>450139</v>
      </c>
      <c r="B93" s="6" t="s">
        <v>76</v>
      </c>
      <c r="C93" s="13" t="s">
        <v>8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30">
        <v>55</v>
      </c>
      <c r="R93" s="30">
        <f t="shared" si="3"/>
        <v>62.5</v>
      </c>
      <c r="S93" s="30">
        <v>70</v>
      </c>
    </row>
    <row r="94" spans="1:19" ht="9" customHeight="1" x14ac:dyDescent="0.25">
      <c r="A94" s="8">
        <v>450140</v>
      </c>
      <c r="B94" s="9" t="s">
        <v>77</v>
      </c>
      <c r="C94" s="12" t="s">
        <v>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1">
        <v>640</v>
      </c>
      <c r="R94" s="31">
        <f t="shared" si="3"/>
        <v>757.5</v>
      </c>
      <c r="S94" s="31">
        <v>875</v>
      </c>
    </row>
    <row r="95" spans="1:19" ht="9" customHeight="1" x14ac:dyDescent="0.25">
      <c r="A95" s="5">
        <v>450141</v>
      </c>
      <c r="B95" s="6" t="s">
        <v>78</v>
      </c>
      <c r="C95" s="13" t="s">
        <v>8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30">
        <v>525</v>
      </c>
      <c r="R95" s="30">
        <f t="shared" si="3"/>
        <v>625</v>
      </c>
      <c r="S95" s="30">
        <v>725</v>
      </c>
    </row>
    <row r="96" spans="1:19" ht="9" customHeight="1" x14ac:dyDescent="0.25">
      <c r="A96" s="8">
        <v>450142</v>
      </c>
      <c r="B96" s="9" t="s">
        <v>79</v>
      </c>
      <c r="C96" s="12" t="s">
        <v>8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1">
        <v>705</v>
      </c>
      <c r="R96" s="31">
        <f t="shared" si="3"/>
        <v>840</v>
      </c>
      <c r="S96" s="31">
        <v>975</v>
      </c>
    </row>
    <row r="97" spans="1:19" ht="9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30"/>
      <c r="R97" s="30"/>
      <c r="S97" s="30"/>
    </row>
    <row r="98" spans="1:19" ht="9" customHeight="1" x14ac:dyDescent="0.25">
      <c r="A98" s="3"/>
      <c r="B98" s="4" t="s">
        <v>80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1"/>
      <c r="R98" s="31"/>
      <c r="S98" s="31"/>
    </row>
    <row r="99" spans="1:19" ht="9" customHeight="1" x14ac:dyDescent="0.25">
      <c r="A99" s="5">
        <v>450050</v>
      </c>
      <c r="B99" s="6" t="s">
        <v>81</v>
      </c>
      <c r="C99" s="13" t="s">
        <v>8</v>
      </c>
      <c r="D99" s="13" t="s">
        <v>8</v>
      </c>
      <c r="E99" s="13" t="s">
        <v>8</v>
      </c>
      <c r="F99" s="13" t="s">
        <v>8</v>
      </c>
      <c r="G99" s="13" t="s">
        <v>8</v>
      </c>
      <c r="H99" s="7"/>
      <c r="I99" s="7"/>
      <c r="J99" s="7"/>
      <c r="K99" s="7"/>
      <c r="L99" s="7"/>
      <c r="M99" s="7"/>
      <c r="N99" s="7"/>
      <c r="O99" s="7"/>
      <c r="P99" s="7"/>
      <c r="Q99" s="30">
        <v>25</v>
      </c>
      <c r="R99" s="30">
        <f t="shared" ref="R99:R137" si="4">((S99-Q99)/2)+Q99</f>
        <v>27.5</v>
      </c>
      <c r="S99" s="30">
        <v>30</v>
      </c>
    </row>
    <row r="100" spans="1:19" ht="9" customHeight="1" x14ac:dyDescent="0.25">
      <c r="A100" s="8">
        <v>450000</v>
      </c>
      <c r="B100" s="9" t="s">
        <v>82</v>
      </c>
      <c r="C100" s="3"/>
      <c r="D100" s="3"/>
      <c r="E100" s="3"/>
      <c r="F100" s="3"/>
      <c r="G100" s="3"/>
      <c r="H100" s="12" t="s">
        <v>8</v>
      </c>
      <c r="I100" s="12" t="s">
        <v>8</v>
      </c>
      <c r="J100" s="12" t="s">
        <v>8</v>
      </c>
      <c r="K100" s="12" t="s">
        <v>8</v>
      </c>
      <c r="L100" s="12" t="s">
        <v>8</v>
      </c>
      <c r="M100" s="12" t="s">
        <v>8</v>
      </c>
      <c r="N100" s="12" t="s">
        <v>8</v>
      </c>
      <c r="O100" s="12" t="s">
        <v>8</v>
      </c>
      <c r="P100" s="12" t="s">
        <v>8</v>
      </c>
      <c r="Q100" s="31">
        <v>580</v>
      </c>
      <c r="R100" s="31">
        <f t="shared" si="4"/>
        <v>687.5</v>
      </c>
      <c r="S100" s="31">
        <v>795</v>
      </c>
    </row>
    <row r="101" spans="1:19" ht="9" customHeight="1" x14ac:dyDescent="0.25">
      <c r="A101" s="5">
        <v>450259</v>
      </c>
      <c r="B101" s="6" t="s">
        <v>83</v>
      </c>
      <c r="C101" s="13" t="s">
        <v>8</v>
      </c>
      <c r="D101" s="13" t="s">
        <v>8</v>
      </c>
      <c r="E101" s="13" t="s">
        <v>8</v>
      </c>
      <c r="F101" s="13" t="s">
        <v>8</v>
      </c>
      <c r="G101" s="13" t="s">
        <v>8</v>
      </c>
      <c r="H101" s="7"/>
      <c r="I101" s="7"/>
      <c r="J101" s="7"/>
      <c r="K101" s="7"/>
      <c r="L101" s="7"/>
      <c r="M101" s="7"/>
      <c r="N101" s="7"/>
      <c r="O101" s="7"/>
      <c r="P101" s="7"/>
      <c r="Q101" s="30">
        <v>325</v>
      </c>
      <c r="R101" s="30">
        <f t="shared" si="4"/>
        <v>385</v>
      </c>
      <c r="S101" s="30">
        <v>445</v>
      </c>
    </row>
    <row r="102" spans="1:19" ht="9" customHeight="1" x14ac:dyDescent="0.25">
      <c r="A102" s="8">
        <v>450042</v>
      </c>
      <c r="B102" s="9" t="s">
        <v>84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1">
        <v>165</v>
      </c>
      <c r="R102" s="31">
        <f t="shared" si="4"/>
        <v>195</v>
      </c>
      <c r="S102" s="31">
        <v>225</v>
      </c>
    </row>
    <row r="103" spans="1:19" ht="9" customHeight="1" x14ac:dyDescent="0.25">
      <c r="A103" s="5">
        <v>450493</v>
      </c>
      <c r="B103" s="6" t="s">
        <v>85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30">
        <v>1210</v>
      </c>
      <c r="R103" s="30">
        <f t="shared" si="4"/>
        <v>1432.5</v>
      </c>
      <c r="S103" s="30">
        <v>1655</v>
      </c>
    </row>
    <row r="104" spans="1:19" ht="9" customHeight="1" x14ac:dyDescent="0.25">
      <c r="A104" s="8">
        <v>450047</v>
      </c>
      <c r="B104" s="9" t="s">
        <v>86</v>
      </c>
      <c r="C104" s="12" t="s">
        <v>8</v>
      </c>
      <c r="D104" s="12" t="s">
        <v>8</v>
      </c>
      <c r="E104" s="12" t="s">
        <v>8</v>
      </c>
      <c r="F104" s="12" t="s">
        <v>8</v>
      </c>
      <c r="G104" s="12" t="s">
        <v>8</v>
      </c>
      <c r="H104" s="3"/>
      <c r="I104" s="3"/>
      <c r="J104" s="3"/>
      <c r="K104" s="3"/>
      <c r="L104" s="3"/>
      <c r="M104" s="3"/>
      <c r="N104" s="3"/>
      <c r="O104" s="3"/>
      <c r="P104" s="3"/>
      <c r="Q104" s="31">
        <v>110</v>
      </c>
      <c r="R104" s="31">
        <f t="shared" si="4"/>
        <v>127.5</v>
      </c>
      <c r="S104" s="31">
        <v>145</v>
      </c>
    </row>
    <row r="105" spans="1:19" ht="9" customHeight="1" x14ac:dyDescent="0.25">
      <c r="A105" s="5">
        <v>450131</v>
      </c>
      <c r="B105" s="6" t="s">
        <v>87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0">
        <v>500</v>
      </c>
      <c r="R105" s="30">
        <f t="shared" si="4"/>
        <v>592.5</v>
      </c>
      <c r="S105" s="30">
        <v>685</v>
      </c>
    </row>
    <row r="106" spans="1:19" ht="9" customHeight="1" x14ac:dyDescent="0.25">
      <c r="A106" s="8">
        <v>450003</v>
      </c>
      <c r="B106" s="9" t="s">
        <v>88</v>
      </c>
      <c r="C106" s="3"/>
      <c r="D106" s="3"/>
      <c r="E106" s="3"/>
      <c r="F106" s="3"/>
      <c r="G106" s="12" t="s">
        <v>8</v>
      </c>
      <c r="H106" s="12" t="s">
        <v>8</v>
      </c>
      <c r="I106" s="12" t="s">
        <v>8</v>
      </c>
      <c r="J106" s="12" t="s">
        <v>8</v>
      </c>
      <c r="K106" s="12" t="s">
        <v>8</v>
      </c>
      <c r="L106" s="12" t="s">
        <v>8</v>
      </c>
      <c r="M106" s="12" t="s">
        <v>8</v>
      </c>
      <c r="N106" s="12" t="s">
        <v>8</v>
      </c>
      <c r="O106" s="12" t="s">
        <v>8</v>
      </c>
      <c r="P106" s="12" t="s">
        <v>8</v>
      </c>
      <c r="Q106" s="31">
        <v>45</v>
      </c>
      <c r="R106" s="31">
        <f t="shared" si="4"/>
        <v>55</v>
      </c>
      <c r="S106" s="31">
        <v>65</v>
      </c>
    </row>
    <row r="107" spans="1:19" ht="9" customHeight="1" x14ac:dyDescent="0.25">
      <c r="A107" s="5">
        <v>450014</v>
      </c>
      <c r="B107" s="6" t="s">
        <v>89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30">
        <v>285</v>
      </c>
      <c r="R107" s="30">
        <f t="shared" si="4"/>
        <v>337.5</v>
      </c>
      <c r="S107" s="30">
        <v>390</v>
      </c>
    </row>
    <row r="108" spans="1:19" ht="9" customHeight="1" x14ac:dyDescent="0.25">
      <c r="A108" s="8">
        <v>450272</v>
      </c>
      <c r="B108" s="9" t="s">
        <v>90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12" t="s">
        <v>8</v>
      </c>
      <c r="N108" s="12" t="s">
        <v>8</v>
      </c>
      <c r="O108" s="12" t="s">
        <v>8</v>
      </c>
      <c r="P108" s="12" t="s">
        <v>8</v>
      </c>
      <c r="Q108" s="36">
        <v>1425</v>
      </c>
      <c r="R108" s="31">
        <f t="shared" si="4"/>
        <v>1690</v>
      </c>
      <c r="S108" s="36">
        <v>1955</v>
      </c>
    </row>
    <row r="109" spans="1:19" ht="9" customHeight="1" x14ac:dyDescent="0.25">
      <c r="A109" s="5">
        <v>450135</v>
      </c>
      <c r="B109" s="6" t="s">
        <v>91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30">
        <v>45</v>
      </c>
      <c r="R109" s="30">
        <f t="shared" si="4"/>
        <v>50</v>
      </c>
      <c r="S109" s="30">
        <v>55</v>
      </c>
    </row>
    <row r="110" spans="1:19" ht="9" customHeight="1" x14ac:dyDescent="0.25">
      <c r="A110" s="8">
        <v>450513</v>
      </c>
      <c r="B110" s="9" t="s">
        <v>92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1">
        <v>10</v>
      </c>
      <c r="R110" s="31">
        <f t="shared" si="4"/>
        <v>12.5</v>
      </c>
      <c r="S110" s="31">
        <v>15</v>
      </c>
    </row>
    <row r="111" spans="1:19" ht="9" customHeight="1" x14ac:dyDescent="0.25">
      <c r="A111" s="14">
        <v>450201</v>
      </c>
      <c r="B111" s="6" t="s">
        <v>93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30">
        <v>10</v>
      </c>
      <c r="R111" s="30">
        <f t="shared" si="4"/>
        <v>12.5</v>
      </c>
      <c r="S111" s="30">
        <v>15</v>
      </c>
    </row>
    <row r="112" spans="1:19" ht="9" customHeight="1" x14ac:dyDescent="0.25">
      <c r="A112" s="15">
        <v>450563</v>
      </c>
      <c r="B112" s="9" t="s">
        <v>94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1">
        <v>85</v>
      </c>
      <c r="R112" s="31">
        <f t="shared" si="4"/>
        <v>97.5</v>
      </c>
      <c r="S112" s="31">
        <v>110</v>
      </c>
    </row>
    <row r="113" spans="1:19" ht="9" customHeight="1" x14ac:dyDescent="0.25">
      <c r="A113" s="14">
        <v>450601</v>
      </c>
      <c r="B113" s="6" t="s">
        <v>95</v>
      </c>
      <c r="C113" s="13" t="s">
        <v>8</v>
      </c>
      <c r="D113" s="13" t="s">
        <v>8</v>
      </c>
      <c r="E113" s="13" t="s">
        <v>8</v>
      </c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7"/>
      <c r="N113" s="7"/>
      <c r="O113" s="7"/>
      <c r="P113" s="7"/>
      <c r="Q113" s="30">
        <v>65</v>
      </c>
      <c r="R113" s="30">
        <f t="shared" si="4"/>
        <v>77.5</v>
      </c>
      <c r="S113" s="30">
        <v>90</v>
      </c>
    </row>
    <row r="114" spans="1:19" ht="9" customHeight="1" x14ac:dyDescent="0.25">
      <c r="A114" s="15">
        <v>450620</v>
      </c>
      <c r="B114" s="9" t="s">
        <v>96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1">
        <v>125</v>
      </c>
      <c r="R114" s="31">
        <f t="shared" si="4"/>
        <v>145</v>
      </c>
      <c r="S114" s="31">
        <v>165</v>
      </c>
    </row>
    <row r="115" spans="1:19" ht="9" customHeight="1" x14ac:dyDescent="0.25">
      <c r="A115" s="14">
        <v>450624</v>
      </c>
      <c r="B115" s="6" t="s">
        <v>97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30">
        <v>325</v>
      </c>
      <c r="R115" s="30">
        <f t="shared" si="4"/>
        <v>375</v>
      </c>
      <c r="S115" s="30">
        <v>425</v>
      </c>
    </row>
    <row r="116" spans="1:19" ht="9" customHeight="1" x14ac:dyDescent="0.25">
      <c r="A116" s="15">
        <v>450645</v>
      </c>
      <c r="B116" s="9" t="s">
        <v>98</v>
      </c>
      <c r="C116" s="12" t="s">
        <v>8</v>
      </c>
      <c r="D116" s="12" t="s">
        <v>8</v>
      </c>
      <c r="E116" s="12" t="s">
        <v>8</v>
      </c>
      <c r="F116" s="12" t="s">
        <v>8</v>
      </c>
      <c r="G116" s="12" t="s">
        <v>8</v>
      </c>
      <c r="H116" s="12" t="s">
        <v>8</v>
      </c>
      <c r="I116" s="12" t="s">
        <v>8</v>
      </c>
      <c r="J116" s="12" t="s">
        <v>8</v>
      </c>
      <c r="K116" s="3"/>
      <c r="L116" s="3"/>
      <c r="M116" s="3"/>
      <c r="N116" s="3"/>
      <c r="O116" s="3"/>
      <c r="P116" s="3"/>
      <c r="Q116" s="31">
        <v>430</v>
      </c>
      <c r="R116" s="31">
        <f t="shared" si="4"/>
        <v>507.5</v>
      </c>
      <c r="S116" s="31">
        <v>585</v>
      </c>
    </row>
    <row r="117" spans="1:19" ht="9" customHeight="1" x14ac:dyDescent="0.25">
      <c r="A117" s="14">
        <v>450005</v>
      </c>
      <c r="B117" s="6" t="s">
        <v>99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30">
        <v>2685</v>
      </c>
      <c r="R117" s="30">
        <f t="shared" si="4"/>
        <v>3185</v>
      </c>
      <c r="S117" s="30">
        <v>3685</v>
      </c>
    </row>
    <row r="118" spans="1:19" ht="9" customHeight="1" x14ac:dyDescent="0.25">
      <c r="A118" s="15">
        <v>450269</v>
      </c>
      <c r="B118" s="9" t="s">
        <v>100</v>
      </c>
      <c r="C118" s="12" t="s">
        <v>8</v>
      </c>
      <c r="D118" s="12" t="s">
        <v>8</v>
      </c>
      <c r="E118" s="12" t="s">
        <v>8</v>
      </c>
      <c r="F118" s="12" t="s">
        <v>8</v>
      </c>
      <c r="G118" s="12" t="s">
        <v>8</v>
      </c>
      <c r="H118" s="12" t="s">
        <v>8</v>
      </c>
      <c r="I118" s="12" t="s">
        <v>8</v>
      </c>
      <c r="J118" s="12" t="s">
        <v>8</v>
      </c>
      <c r="K118" s="12" t="s">
        <v>8</v>
      </c>
      <c r="L118" s="3"/>
      <c r="M118" s="3"/>
      <c r="N118" s="3"/>
      <c r="O118" s="3"/>
      <c r="P118" s="3"/>
      <c r="Q118" s="31">
        <v>105</v>
      </c>
      <c r="R118" s="31">
        <f t="shared" si="4"/>
        <v>120</v>
      </c>
      <c r="S118" s="31">
        <v>135</v>
      </c>
    </row>
    <row r="119" spans="1:19" ht="9" customHeight="1" x14ac:dyDescent="0.25">
      <c r="A119" s="14">
        <v>450612</v>
      </c>
      <c r="B119" s="6" t="s">
        <v>101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30">
        <v>50</v>
      </c>
      <c r="R119" s="30">
        <f t="shared" si="4"/>
        <v>60</v>
      </c>
      <c r="S119" s="30">
        <v>70</v>
      </c>
    </row>
    <row r="120" spans="1:19" ht="9" customHeight="1" x14ac:dyDescent="0.25">
      <c r="A120" s="15">
        <v>450617</v>
      </c>
      <c r="B120" s="9" t="s">
        <v>102</v>
      </c>
      <c r="C120" s="12" t="s">
        <v>8</v>
      </c>
      <c r="D120" s="12" t="s">
        <v>8</v>
      </c>
      <c r="E120" s="12" t="s">
        <v>8</v>
      </c>
      <c r="F120" s="12" t="s">
        <v>8</v>
      </c>
      <c r="G120" s="12" t="s">
        <v>8</v>
      </c>
      <c r="H120" s="3"/>
      <c r="I120" s="3"/>
      <c r="J120" s="3"/>
      <c r="K120" s="3"/>
      <c r="L120" s="3"/>
      <c r="M120" s="3"/>
      <c r="N120" s="3"/>
      <c r="O120" s="3"/>
      <c r="P120" s="3"/>
      <c r="Q120" s="31">
        <v>50</v>
      </c>
      <c r="R120" s="31">
        <f t="shared" si="4"/>
        <v>60</v>
      </c>
      <c r="S120" s="31">
        <v>70</v>
      </c>
    </row>
    <row r="121" spans="1:19" ht="9" customHeight="1" x14ac:dyDescent="0.25">
      <c r="A121" s="14">
        <v>450649</v>
      </c>
      <c r="B121" s="6" t="s">
        <v>103</v>
      </c>
      <c r="C121" s="13" t="s">
        <v>8</v>
      </c>
      <c r="D121" s="13" t="s">
        <v>8</v>
      </c>
      <c r="E121" s="13" t="s">
        <v>8</v>
      </c>
      <c r="F121" s="13" t="s">
        <v>8</v>
      </c>
      <c r="G121" s="13" t="s">
        <v>8</v>
      </c>
      <c r="H121" s="13" t="s">
        <v>8</v>
      </c>
      <c r="I121" s="13" t="s">
        <v>8</v>
      </c>
      <c r="J121" s="13" t="s">
        <v>8</v>
      </c>
      <c r="K121" s="13" t="s">
        <v>8</v>
      </c>
      <c r="L121" s="13" t="s">
        <v>8</v>
      </c>
      <c r="M121" s="13" t="s">
        <v>8</v>
      </c>
      <c r="N121" s="7"/>
      <c r="O121" s="7"/>
      <c r="P121" s="7"/>
      <c r="Q121" s="30">
        <v>70</v>
      </c>
      <c r="R121" s="30">
        <f t="shared" si="4"/>
        <v>82.5</v>
      </c>
      <c r="S121" s="30">
        <v>95</v>
      </c>
    </row>
    <row r="122" spans="1:19" ht="9" customHeight="1" x14ac:dyDescent="0.25">
      <c r="A122" s="8">
        <v>450090</v>
      </c>
      <c r="B122" s="9" t="s">
        <v>104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1">
        <v>345</v>
      </c>
      <c r="R122" s="31">
        <f t="shared" si="4"/>
        <v>407.5</v>
      </c>
      <c r="S122" s="31">
        <v>470</v>
      </c>
    </row>
    <row r="123" spans="1:19" ht="9" customHeight="1" x14ac:dyDescent="0.25">
      <c r="A123" s="5">
        <v>450663</v>
      </c>
      <c r="B123" s="6" t="s">
        <v>105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30">
        <v>125</v>
      </c>
      <c r="R123" s="30">
        <f t="shared" si="4"/>
        <v>147.5</v>
      </c>
      <c r="S123" s="30">
        <v>170</v>
      </c>
    </row>
    <row r="124" spans="1:19" ht="9" customHeight="1" x14ac:dyDescent="0.25">
      <c r="A124" s="8">
        <v>450379</v>
      </c>
      <c r="B124" s="9" t="s">
        <v>106</v>
      </c>
      <c r="C124" s="12" t="s">
        <v>8</v>
      </c>
      <c r="D124" s="12" t="s">
        <v>8</v>
      </c>
      <c r="E124" s="12" t="s">
        <v>8</v>
      </c>
      <c r="F124" s="12" t="s">
        <v>8</v>
      </c>
      <c r="G124" s="12" t="s">
        <v>8</v>
      </c>
      <c r="H124" s="12" t="s">
        <v>8</v>
      </c>
      <c r="I124" s="12" t="s">
        <v>8</v>
      </c>
      <c r="J124" s="12" t="s">
        <v>8</v>
      </c>
      <c r="K124" s="12" t="s">
        <v>8</v>
      </c>
      <c r="L124" s="12" t="s">
        <v>8</v>
      </c>
      <c r="M124" s="3"/>
      <c r="N124" s="3"/>
      <c r="O124" s="3"/>
      <c r="P124" s="3"/>
      <c r="Q124" s="31">
        <v>840</v>
      </c>
      <c r="R124" s="31">
        <f t="shared" si="4"/>
        <v>1065</v>
      </c>
      <c r="S124" s="36">
        <v>1290</v>
      </c>
    </row>
    <row r="125" spans="1:19" ht="9" customHeight="1" x14ac:dyDescent="0.25">
      <c r="A125" s="5">
        <v>450674</v>
      </c>
      <c r="B125" s="6" t="s">
        <v>107</v>
      </c>
      <c r="C125" s="13" t="s">
        <v>8</v>
      </c>
      <c r="D125" s="13" t="s">
        <v>8</v>
      </c>
      <c r="E125" s="13" t="s">
        <v>8</v>
      </c>
      <c r="F125" s="13" t="s">
        <v>8</v>
      </c>
      <c r="G125" s="13" t="s">
        <v>8</v>
      </c>
      <c r="H125" s="13" t="s">
        <v>8</v>
      </c>
      <c r="I125" s="13" t="s">
        <v>8</v>
      </c>
      <c r="J125" s="13" t="s">
        <v>8</v>
      </c>
      <c r="K125" s="13" t="s">
        <v>8</v>
      </c>
      <c r="L125" s="13" t="s">
        <v>8</v>
      </c>
      <c r="M125" s="13" t="s">
        <v>8</v>
      </c>
      <c r="N125" s="13" t="s">
        <v>8</v>
      </c>
      <c r="O125" s="13" t="s">
        <v>8</v>
      </c>
      <c r="P125" s="13" t="s">
        <v>8</v>
      </c>
      <c r="Q125" s="30">
        <v>270</v>
      </c>
      <c r="R125" s="30">
        <f t="shared" si="4"/>
        <v>340</v>
      </c>
      <c r="S125" s="30">
        <v>410</v>
      </c>
    </row>
    <row r="126" spans="1:19" ht="9" customHeight="1" x14ac:dyDescent="0.25">
      <c r="A126" s="8">
        <v>450675</v>
      </c>
      <c r="B126" s="9" t="s">
        <v>108</v>
      </c>
      <c r="C126" s="12" t="s">
        <v>8</v>
      </c>
      <c r="D126" s="12" t="s">
        <v>8</v>
      </c>
      <c r="E126" s="12" t="s">
        <v>8</v>
      </c>
      <c r="F126" s="12" t="s">
        <v>8</v>
      </c>
      <c r="G126" s="12" t="s">
        <v>8</v>
      </c>
      <c r="H126" s="12" t="s">
        <v>8</v>
      </c>
      <c r="I126" s="12" t="s">
        <v>8</v>
      </c>
      <c r="J126" s="12" t="s">
        <v>8</v>
      </c>
      <c r="K126" s="12" t="s">
        <v>8</v>
      </c>
      <c r="L126" s="12" t="s">
        <v>8</v>
      </c>
      <c r="M126" s="12" t="s">
        <v>8</v>
      </c>
      <c r="N126" s="12" t="s">
        <v>8</v>
      </c>
      <c r="O126" s="12" t="s">
        <v>8</v>
      </c>
      <c r="P126" s="12" t="s">
        <v>8</v>
      </c>
      <c r="Q126" s="31">
        <v>270</v>
      </c>
      <c r="R126" s="31">
        <f t="shared" si="4"/>
        <v>340</v>
      </c>
      <c r="S126" s="31">
        <v>410</v>
      </c>
    </row>
    <row r="127" spans="1:19" ht="9" customHeight="1" x14ac:dyDescent="0.25">
      <c r="A127" s="5">
        <v>450676</v>
      </c>
      <c r="B127" s="6" t="s">
        <v>109</v>
      </c>
      <c r="C127" s="13" t="s">
        <v>8</v>
      </c>
      <c r="D127" s="13" t="s">
        <v>8</v>
      </c>
      <c r="E127" s="13" t="s">
        <v>8</v>
      </c>
      <c r="F127" s="13" t="s">
        <v>8</v>
      </c>
      <c r="G127" s="13" t="s">
        <v>8</v>
      </c>
      <c r="H127" s="13" t="s">
        <v>8</v>
      </c>
      <c r="I127" s="13" t="s">
        <v>8</v>
      </c>
      <c r="J127" s="13" t="s">
        <v>8</v>
      </c>
      <c r="K127" s="13" t="s">
        <v>8</v>
      </c>
      <c r="L127" s="13" t="s">
        <v>8</v>
      </c>
      <c r="M127" s="7"/>
      <c r="N127" s="7"/>
      <c r="O127" s="7"/>
      <c r="P127" s="7"/>
      <c r="Q127" s="30">
        <v>270</v>
      </c>
      <c r="R127" s="30">
        <f t="shared" si="4"/>
        <v>340</v>
      </c>
      <c r="S127" s="30">
        <v>410</v>
      </c>
    </row>
    <row r="128" spans="1:19" ht="9" customHeight="1" x14ac:dyDescent="0.25">
      <c r="A128" s="8">
        <v>450677</v>
      </c>
      <c r="B128" s="9" t="s">
        <v>110</v>
      </c>
      <c r="C128" s="12" t="s">
        <v>8</v>
      </c>
      <c r="D128" s="12" t="s">
        <v>8</v>
      </c>
      <c r="E128" s="12" t="s">
        <v>8</v>
      </c>
      <c r="F128" s="12" t="s">
        <v>8</v>
      </c>
      <c r="G128" s="12" t="s">
        <v>8</v>
      </c>
      <c r="H128" s="12" t="s">
        <v>8</v>
      </c>
      <c r="I128" s="12" t="s">
        <v>8</v>
      </c>
      <c r="J128" s="12" t="s">
        <v>8</v>
      </c>
      <c r="K128" s="12" t="s">
        <v>8</v>
      </c>
      <c r="L128" s="12" t="s">
        <v>8</v>
      </c>
      <c r="M128" s="12" t="s">
        <v>8</v>
      </c>
      <c r="N128" s="3"/>
      <c r="O128" s="3"/>
      <c r="P128" s="3"/>
      <c r="Q128" s="31">
        <v>270</v>
      </c>
      <c r="R128" s="31">
        <f t="shared" si="4"/>
        <v>340</v>
      </c>
      <c r="S128" s="31">
        <v>410</v>
      </c>
    </row>
    <row r="129" spans="1:19" ht="9" customHeight="1" x14ac:dyDescent="0.25">
      <c r="A129" s="5">
        <v>450365</v>
      </c>
      <c r="B129" s="6" t="s">
        <v>111</v>
      </c>
      <c r="C129" s="13" t="s">
        <v>8</v>
      </c>
      <c r="D129" s="13" t="s">
        <v>8</v>
      </c>
      <c r="E129" s="13" t="s">
        <v>8</v>
      </c>
      <c r="F129" s="13" t="s">
        <v>8</v>
      </c>
      <c r="G129" s="13" t="s">
        <v>8</v>
      </c>
      <c r="H129" s="13" t="s">
        <v>8</v>
      </c>
      <c r="I129" s="13" t="s">
        <v>8</v>
      </c>
      <c r="J129" s="13" t="s">
        <v>8</v>
      </c>
      <c r="K129" s="13" t="s">
        <v>8</v>
      </c>
      <c r="L129" s="13" t="s">
        <v>8</v>
      </c>
      <c r="M129" s="13" t="s">
        <v>8</v>
      </c>
      <c r="N129" s="7"/>
      <c r="O129" s="7"/>
      <c r="P129" s="7"/>
      <c r="Q129" s="30">
        <v>105</v>
      </c>
      <c r="R129" s="30">
        <f t="shared" si="4"/>
        <v>130</v>
      </c>
      <c r="S129" s="30">
        <v>155</v>
      </c>
    </row>
    <row r="130" spans="1:19" ht="9" customHeight="1" x14ac:dyDescent="0.25">
      <c r="A130" s="8">
        <v>450732</v>
      </c>
      <c r="B130" s="9" t="s">
        <v>112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1">
        <v>330</v>
      </c>
      <c r="R130" s="31">
        <f t="shared" si="4"/>
        <v>417.5</v>
      </c>
      <c r="S130" s="31">
        <v>505</v>
      </c>
    </row>
    <row r="131" spans="1:19" ht="9" customHeight="1" x14ac:dyDescent="0.25">
      <c r="A131" s="14">
        <v>450845</v>
      </c>
      <c r="B131" s="6" t="s">
        <v>113</v>
      </c>
      <c r="C131" s="13" t="s">
        <v>8</v>
      </c>
      <c r="D131" s="13" t="s">
        <v>8</v>
      </c>
      <c r="E131" s="13" t="s">
        <v>8</v>
      </c>
      <c r="F131" s="13" t="s">
        <v>8</v>
      </c>
      <c r="G131" s="13" t="s">
        <v>8</v>
      </c>
      <c r="H131" s="13" t="s">
        <v>8</v>
      </c>
      <c r="I131" s="13" t="s">
        <v>8</v>
      </c>
      <c r="J131" s="13" t="s">
        <v>8</v>
      </c>
      <c r="K131" s="13" t="s">
        <v>8</v>
      </c>
      <c r="L131" s="13" t="s">
        <v>8</v>
      </c>
      <c r="M131" s="13" t="s">
        <v>8</v>
      </c>
      <c r="N131" s="13" t="s">
        <v>8</v>
      </c>
      <c r="O131" s="13" t="s">
        <v>8</v>
      </c>
      <c r="P131" s="13" t="s">
        <v>8</v>
      </c>
      <c r="Q131" s="30">
        <v>270</v>
      </c>
      <c r="R131" s="30">
        <f t="shared" si="4"/>
        <v>340</v>
      </c>
      <c r="S131" s="30">
        <v>410</v>
      </c>
    </row>
    <row r="132" spans="1:19" ht="9" customHeight="1" x14ac:dyDescent="0.25">
      <c r="A132" s="15">
        <v>450846</v>
      </c>
      <c r="B132" s="9" t="s">
        <v>114</v>
      </c>
      <c r="C132" s="12" t="s">
        <v>8</v>
      </c>
      <c r="D132" s="12" t="s">
        <v>8</v>
      </c>
      <c r="E132" s="12" t="s">
        <v>8</v>
      </c>
      <c r="F132" s="12" t="s">
        <v>8</v>
      </c>
      <c r="G132" s="12" t="s">
        <v>8</v>
      </c>
      <c r="H132" s="12" t="s">
        <v>8</v>
      </c>
      <c r="I132" s="12" t="s">
        <v>8</v>
      </c>
      <c r="J132" s="12" t="s">
        <v>8</v>
      </c>
      <c r="K132" s="12" t="s">
        <v>8</v>
      </c>
      <c r="L132" s="12" t="s">
        <v>8</v>
      </c>
      <c r="M132" s="12" t="s">
        <v>8</v>
      </c>
      <c r="N132" s="12" t="s">
        <v>8</v>
      </c>
      <c r="O132" s="12" t="s">
        <v>8</v>
      </c>
      <c r="P132" s="12" t="s">
        <v>8</v>
      </c>
      <c r="Q132" s="31">
        <v>270</v>
      </c>
      <c r="R132" s="31">
        <f t="shared" si="4"/>
        <v>340</v>
      </c>
      <c r="S132" s="31">
        <v>410</v>
      </c>
    </row>
    <row r="133" spans="1:19" ht="9" customHeight="1" x14ac:dyDescent="0.25">
      <c r="A133" s="5">
        <v>450847</v>
      </c>
      <c r="B133" s="6" t="s">
        <v>115</v>
      </c>
      <c r="C133" s="13" t="s">
        <v>8</v>
      </c>
      <c r="D133" s="13" t="s">
        <v>8</v>
      </c>
      <c r="E133" s="13" t="s">
        <v>8</v>
      </c>
      <c r="F133" s="13" t="s">
        <v>8</v>
      </c>
      <c r="G133" s="13" t="s">
        <v>8</v>
      </c>
      <c r="H133" s="7"/>
      <c r="I133" s="7"/>
      <c r="J133" s="7"/>
      <c r="K133" s="7"/>
      <c r="L133" s="7"/>
      <c r="M133" s="13" t="s">
        <v>8</v>
      </c>
      <c r="N133" s="13" t="s">
        <v>8</v>
      </c>
      <c r="O133" s="13" t="s">
        <v>8</v>
      </c>
      <c r="P133" s="13" t="s">
        <v>8</v>
      </c>
      <c r="Q133" s="30">
        <v>270</v>
      </c>
      <c r="R133" s="30">
        <f t="shared" si="4"/>
        <v>340</v>
      </c>
      <c r="S133" s="30">
        <v>410</v>
      </c>
    </row>
    <row r="134" spans="1:19" ht="9" customHeight="1" x14ac:dyDescent="0.25">
      <c r="A134" s="8">
        <v>450849</v>
      </c>
      <c r="B134" s="9" t="s">
        <v>116</v>
      </c>
      <c r="C134" s="12" t="s">
        <v>8</v>
      </c>
      <c r="D134" s="12" t="s">
        <v>8</v>
      </c>
      <c r="E134" s="12" t="s">
        <v>8</v>
      </c>
      <c r="F134" s="12" t="s">
        <v>8</v>
      </c>
      <c r="G134" s="12" t="s">
        <v>8</v>
      </c>
      <c r="H134" s="12" t="s">
        <v>8</v>
      </c>
      <c r="I134" s="12" t="s">
        <v>8</v>
      </c>
      <c r="J134" s="12" t="s">
        <v>8</v>
      </c>
      <c r="K134" s="12" t="s">
        <v>8</v>
      </c>
      <c r="L134" s="12" t="s">
        <v>8</v>
      </c>
      <c r="M134" s="12" t="s">
        <v>8</v>
      </c>
      <c r="N134" s="3"/>
      <c r="O134" s="12" t="s">
        <v>8</v>
      </c>
      <c r="P134" s="12" t="s">
        <v>8</v>
      </c>
      <c r="Q134" s="31">
        <v>270</v>
      </c>
      <c r="R134" s="31">
        <f t="shared" si="4"/>
        <v>340</v>
      </c>
      <c r="S134" s="31">
        <v>410</v>
      </c>
    </row>
    <row r="135" spans="1:19" ht="9" customHeight="1" x14ac:dyDescent="0.25">
      <c r="A135" s="5">
        <v>450848</v>
      </c>
      <c r="B135" s="6" t="s">
        <v>117</v>
      </c>
      <c r="C135" s="13" t="s">
        <v>8</v>
      </c>
      <c r="D135" s="13" t="s">
        <v>8</v>
      </c>
      <c r="E135" s="13" t="s">
        <v>8</v>
      </c>
      <c r="F135" s="13" t="s">
        <v>8</v>
      </c>
      <c r="G135" s="13" t="s">
        <v>8</v>
      </c>
      <c r="H135" s="13" t="s">
        <v>8</v>
      </c>
      <c r="I135" s="13" t="s">
        <v>8</v>
      </c>
      <c r="J135" s="13" t="s">
        <v>8</v>
      </c>
      <c r="K135" s="13" t="s">
        <v>8</v>
      </c>
      <c r="L135" s="13" t="s">
        <v>8</v>
      </c>
      <c r="M135" s="7"/>
      <c r="N135" s="13" t="s">
        <v>8</v>
      </c>
      <c r="O135" s="13" t="s">
        <v>8</v>
      </c>
      <c r="P135" s="13" t="s">
        <v>8</v>
      </c>
      <c r="Q135" s="30">
        <v>270</v>
      </c>
      <c r="R135" s="30">
        <f t="shared" si="4"/>
        <v>340</v>
      </c>
      <c r="S135" s="30">
        <v>410</v>
      </c>
    </row>
    <row r="136" spans="1:19" ht="9" customHeight="1" x14ac:dyDescent="0.25">
      <c r="A136" s="8">
        <v>450276</v>
      </c>
      <c r="B136" s="9" t="s">
        <v>118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1">
        <v>190</v>
      </c>
      <c r="R136" s="31">
        <f t="shared" si="4"/>
        <v>237.5</v>
      </c>
      <c r="S136" s="31">
        <v>285</v>
      </c>
    </row>
    <row r="137" spans="1:19" ht="9" customHeight="1" x14ac:dyDescent="0.25">
      <c r="A137" s="5">
        <v>450883</v>
      </c>
      <c r="B137" s="6" t="s">
        <v>119</v>
      </c>
      <c r="C137" s="13" t="s">
        <v>8</v>
      </c>
      <c r="D137" s="13" t="s">
        <v>8</v>
      </c>
      <c r="E137" s="13" t="s">
        <v>8</v>
      </c>
      <c r="F137" s="13" t="s">
        <v>8</v>
      </c>
      <c r="G137" s="13" t="s">
        <v>8</v>
      </c>
      <c r="H137" s="7"/>
      <c r="I137" s="7"/>
      <c r="J137" s="7"/>
      <c r="K137" s="7"/>
      <c r="L137" s="7"/>
      <c r="M137" s="7"/>
      <c r="N137" s="7"/>
      <c r="O137" s="7"/>
      <c r="P137" s="7"/>
      <c r="Q137" s="30">
        <v>340</v>
      </c>
      <c r="R137" s="30">
        <f t="shared" si="4"/>
        <v>432.5</v>
      </c>
      <c r="S137" s="30">
        <v>525</v>
      </c>
    </row>
    <row r="138" spans="1:19" ht="9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40"/>
      <c r="R138" s="40"/>
      <c r="S138" s="40"/>
    </row>
    <row r="139" spans="1:19" ht="9" customHeight="1" x14ac:dyDescent="0.25">
      <c r="A139" s="7"/>
      <c r="B139" s="16" t="s">
        <v>120</v>
      </c>
      <c r="C139" s="17" t="s">
        <v>121</v>
      </c>
      <c r="D139" s="18">
        <v>1.1000000000000001</v>
      </c>
      <c r="E139" s="18">
        <v>1.2</v>
      </c>
      <c r="F139" s="18">
        <v>1.3</v>
      </c>
      <c r="G139" s="18">
        <v>1.4</v>
      </c>
      <c r="H139" s="18">
        <v>1.5</v>
      </c>
      <c r="I139" s="7"/>
      <c r="J139" s="7"/>
      <c r="K139" s="7"/>
      <c r="L139" s="7"/>
      <c r="M139" s="7"/>
      <c r="N139" s="7"/>
      <c r="O139" s="7"/>
      <c r="P139" s="7"/>
      <c r="Q139" s="41"/>
      <c r="R139" s="41"/>
      <c r="S139" s="41"/>
    </row>
    <row r="140" spans="1:19" ht="9" customHeight="1" x14ac:dyDescent="0.25">
      <c r="A140" s="8">
        <v>450081</v>
      </c>
      <c r="B140" s="9" t="s">
        <v>122</v>
      </c>
      <c r="C140" s="3"/>
      <c r="D140" s="12" t="s">
        <v>8</v>
      </c>
      <c r="E140" s="12" t="s">
        <v>8</v>
      </c>
      <c r="F140" s="12" t="s">
        <v>8</v>
      </c>
      <c r="G140" s="12" t="s">
        <v>8</v>
      </c>
      <c r="H140" s="12" t="s">
        <v>8</v>
      </c>
      <c r="I140" s="3"/>
      <c r="J140" s="3"/>
      <c r="K140" s="3"/>
      <c r="L140" s="3"/>
      <c r="M140" s="3"/>
      <c r="N140" s="3"/>
      <c r="O140" s="3"/>
      <c r="P140" s="3"/>
      <c r="Q140" s="31">
        <v>110</v>
      </c>
      <c r="R140" s="31">
        <f>((S140-Q140)/2)+Q140</f>
        <v>130</v>
      </c>
      <c r="S140" s="31">
        <v>150</v>
      </c>
    </row>
    <row r="141" spans="1:19" ht="9" customHeight="1" x14ac:dyDescent="0.25">
      <c r="A141" s="5">
        <v>450082</v>
      </c>
      <c r="B141" s="6" t="s">
        <v>123</v>
      </c>
      <c r="C141" s="13" t="s">
        <v>8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30">
        <v>110</v>
      </c>
      <c r="R141" s="30">
        <f>((S141-Q141)/2)+Q141</f>
        <v>130</v>
      </c>
      <c r="S141" s="30">
        <v>150</v>
      </c>
    </row>
    <row r="142" spans="1:19" ht="9" customHeight="1" x14ac:dyDescent="0.25">
      <c r="A142" s="8">
        <v>450125</v>
      </c>
      <c r="B142" s="9" t="s">
        <v>124</v>
      </c>
      <c r="C142" s="3"/>
      <c r="D142" s="12" t="s">
        <v>8</v>
      </c>
      <c r="E142" s="12" t="s">
        <v>8</v>
      </c>
      <c r="F142" s="12" t="s">
        <v>8</v>
      </c>
      <c r="G142" s="12" t="s">
        <v>8</v>
      </c>
      <c r="H142" s="12" t="s">
        <v>8</v>
      </c>
      <c r="I142" s="3"/>
      <c r="J142" s="3"/>
      <c r="K142" s="3"/>
      <c r="L142" s="3"/>
      <c r="M142" s="3"/>
      <c r="N142" s="3"/>
      <c r="O142" s="3"/>
      <c r="P142" s="3"/>
      <c r="Q142" s="31">
        <v>270</v>
      </c>
      <c r="R142" s="31"/>
      <c r="S142" s="31">
        <v>365</v>
      </c>
    </row>
    <row r="143" spans="1:19" ht="9" customHeight="1" x14ac:dyDescent="0.25">
      <c r="A143" s="5">
        <v>450136</v>
      </c>
      <c r="B143" s="6" t="s">
        <v>125</v>
      </c>
      <c r="C143" s="7"/>
      <c r="D143" s="13" t="s">
        <v>8</v>
      </c>
      <c r="E143" s="13" t="s">
        <v>8</v>
      </c>
      <c r="F143" s="13" t="s">
        <v>8</v>
      </c>
      <c r="G143" s="13" t="s">
        <v>8</v>
      </c>
      <c r="H143" s="13" t="s">
        <v>8</v>
      </c>
      <c r="I143" s="7"/>
      <c r="J143" s="7"/>
      <c r="K143" s="7"/>
      <c r="L143" s="7"/>
      <c r="M143" s="7"/>
      <c r="N143" s="7"/>
      <c r="O143" s="7"/>
      <c r="P143" s="7"/>
      <c r="Q143" s="30">
        <v>310</v>
      </c>
      <c r="R143" s="30">
        <f>((S143-Q143)/2)+Q143</f>
        <v>365</v>
      </c>
      <c r="S143" s="30">
        <v>420</v>
      </c>
    </row>
    <row r="144" spans="1:19" ht="9" customHeight="1" x14ac:dyDescent="0.25">
      <c r="A144" s="8">
        <v>450137</v>
      </c>
      <c r="B144" s="9" t="s">
        <v>126</v>
      </c>
      <c r="C144" s="12" t="s">
        <v>8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1">
        <v>365</v>
      </c>
      <c r="R144" s="31">
        <f>((S144-Q144)/2)+Q144</f>
        <v>432.5</v>
      </c>
      <c r="S144" s="31">
        <v>500</v>
      </c>
    </row>
    <row r="145" spans="1:19" ht="8.5500000000000007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41"/>
      <c r="R145" s="41"/>
      <c r="S145" s="41"/>
    </row>
    <row r="146" spans="1:19" ht="9" customHeight="1" x14ac:dyDescent="0.25">
      <c r="A146" s="3"/>
      <c r="B146" s="4" t="s">
        <v>127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40"/>
      <c r="R146" s="40"/>
      <c r="S146" s="40"/>
    </row>
    <row r="147" spans="1:19" ht="9" customHeight="1" x14ac:dyDescent="0.25">
      <c r="A147" s="5">
        <v>450126</v>
      </c>
      <c r="B147" s="6" t="s">
        <v>68</v>
      </c>
      <c r="C147" s="13" t="s">
        <v>8</v>
      </c>
      <c r="D147" s="13" t="s">
        <v>8</v>
      </c>
      <c r="E147" s="13" t="s">
        <v>8</v>
      </c>
      <c r="F147" s="13" t="s">
        <v>8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30">
        <v>545</v>
      </c>
      <c r="R147" s="30">
        <f>((S147-Q147)/2)+Q147</f>
        <v>650</v>
      </c>
      <c r="S147" s="30">
        <v>755</v>
      </c>
    </row>
    <row r="148" spans="1:19" ht="9" customHeight="1" x14ac:dyDescent="0.25">
      <c r="A148" s="8">
        <v>450108</v>
      </c>
      <c r="B148" s="9" t="s">
        <v>128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6">
        <v>1890</v>
      </c>
      <c r="R148" s="36">
        <f>((S148-Q148)/2)+Q148</f>
        <v>2235</v>
      </c>
      <c r="S148" s="36">
        <v>2580</v>
      </c>
    </row>
    <row r="149" spans="1:19" ht="9" customHeight="1" x14ac:dyDescent="0.25">
      <c r="A149" s="5">
        <v>450115</v>
      </c>
      <c r="B149" s="6" t="s">
        <v>129</v>
      </c>
      <c r="C149" s="7"/>
      <c r="D149" s="7"/>
      <c r="E149" s="7"/>
      <c r="F149" s="7"/>
      <c r="G149" s="13" t="s">
        <v>8</v>
      </c>
      <c r="H149" s="13" t="s">
        <v>8</v>
      </c>
      <c r="I149" s="7"/>
      <c r="J149" s="7"/>
      <c r="K149" s="7"/>
      <c r="L149" s="7"/>
      <c r="M149" s="7"/>
      <c r="N149" s="7"/>
      <c r="O149" s="7"/>
      <c r="P149" s="7"/>
      <c r="Q149" s="30">
        <v>1245</v>
      </c>
      <c r="R149" s="30">
        <f>((S149-Q149)/2)+Q149</f>
        <v>1475</v>
      </c>
      <c r="S149" s="30">
        <v>1705</v>
      </c>
    </row>
    <row r="150" spans="1:19" ht="9" customHeight="1" x14ac:dyDescent="0.25">
      <c r="A150" s="8">
        <v>450221</v>
      </c>
      <c r="B150" s="9" t="s">
        <v>130</v>
      </c>
      <c r="C150" s="3"/>
      <c r="D150" s="3"/>
      <c r="E150" s="3"/>
      <c r="F150" s="3"/>
      <c r="G150" s="12" t="s">
        <v>8</v>
      </c>
      <c r="H150" s="12" t="s">
        <v>8</v>
      </c>
      <c r="I150" s="3"/>
      <c r="J150" s="3"/>
      <c r="K150" s="3"/>
      <c r="L150" s="3"/>
      <c r="M150" s="3"/>
      <c r="N150" s="3"/>
      <c r="O150" s="3"/>
      <c r="P150" s="3"/>
      <c r="Q150" s="36">
        <v>1070</v>
      </c>
      <c r="R150" s="36">
        <f>((S150-Q150)/2)+Q150</f>
        <v>1270</v>
      </c>
      <c r="S150" s="36">
        <v>1470</v>
      </c>
    </row>
    <row r="151" spans="1:19" ht="9" customHeight="1" x14ac:dyDescent="0.25">
      <c r="A151" s="5">
        <v>450222</v>
      </c>
      <c r="B151" s="6" t="s">
        <v>131</v>
      </c>
      <c r="C151" s="13" t="s">
        <v>8</v>
      </c>
      <c r="D151" s="13" t="s">
        <v>8</v>
      </c>
      <c r="E151" s="13" t="s">
        <v>8</v>
      </c>
      <c r="F151" s="13" t="s">
        <v>8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30">
        <v>795</v>
      </c>
      <c r="R151" s="30">
        <f>((S151-Q151)/2)+Q151</f>
        <v>945</v>
      </c>
      <c r="S151" s="30">
        <v>1095</v>
      </c>
    </row>
    <row r="152" spans="1:19" ht="8.5500000000000007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40"/>
      <c r="R152" s="40"/>
      <c r="S152" s="40"/>
    </row>
    <row r="153" spans="1:19" ht="9" customHeight="1" x14ac:dyDescent="0.25">
      <c r="A153" s="7"/>
      <c r="B153" s="16" t="s">
        <v>132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41"/>
      <c r="R153" s="41"/>
      <c r="S153" s="41"/>
    </row>
    <row r="154" spans="1:19" ht="9" customHeight="1" x14ac:dyDescent="0.25">
      <c r="A154" s="8">
        <v>450083</v>
      </c>
      <c r="B154" s="9" t="s">
        <v>133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1">
        <v>380</v>
      </c>
      <c r="R154" s="31">
        <f>((S154-Q154)/2)+Q154</f>
        <v>450</v>
      </c>
      <c r="S154" s="31">
        <v>520</v>
      </c>
    </row>
    <row r="155" spans="1:19" ht="9" customHeight="1" x14ac:dyDescent="0.25">
      <c r="A155" s="5">
        <v>450084</v>
      </c>
      <c r="B155" s="6" t="s">
        <v>134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30">
        <v>380</v>
      </c>
      <c r="R155" s="30">
        <f>((S155-Q155)/2)+Q155</f>
        <v>450</v>
      </c>
      <c r="S155" s="30">
        <v>520</v>
      </c>
    </row>
    <row r="156" spans="1:19" ht="9" customHeight="1" x14ac:dyDescent="0.25">
      <c r="A156" s="8">
        <v>450124</v>
      </c>
      <c r="B156" s="9" t="s">
        <v>135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1">
        <v>480</v>
      </c>
      <c r="R156" s="31">
        <f>((S156-Q156)/2)+Q156</f>
        <v>562.5</v>
      </c>
      <c r="S156" s="31">
        <v>645</v>
      </c>
    </row>
    <row r="157" spans="1:19" ht="9" customHeight="1" x14ac:dyDescent="0.25">
      <c r="A157" s="5">
        <v>450001</v>
      </c>
      <c r="B157" s="6" t="s">
        <v>41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30">
        <v>990</v>
      </c>
      <c r="R157" s="30">
        <f>((S157-Q157)/2)+Q157</f>
        <v>1175</v>
      </c>
      <c r="S157" s="30">
        <v>1360</v>
      </c>
    </row>
    <row r="158" spans="1:19" ht="8.5500000000000007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40"/>
      <c r="R158" s="40"/>
      <c r="S158" s="40"/>
    </row>
    <row r="159" spans="1:19" ht="9" customHeight="1" x14ac:dyDescent="0.25">
      <c r="A159" s="7"/>
      <c r="B159" s="16" t="s">
        <v>136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41"/>
      <c r="R159" s="41"/>
      <c r="S159" s="41"/>
    </row>
    <row r="160" spans="1:19" ht="9" customHeight="1" x14ac:dyDescent="0.25">
      <c r="A160" s="8">
        <v>450298</v>
      </c>
      <c r="B160" s="9" t="s">
        <v>137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6">
        <v>2095</v>
      </c>
      <c r="R160" s="36">
        <f>((S160-Q160)/2)+Q160</f>
        <v>2487.5</v>
      </c>
      <c r="S160" s="36">
        <v>2880</v>
      </c>
    </row>
    <row r="161" spans="1:19" ht="9" customHeight="1" x14ac:dyDescent="0.25">
      <c r="A161" s="5">
        <v>450091</v>
      </c>
      <c r="B161" s="6" t="s">
        <v>138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30">
        <v>490</v>
      </c>
      <c r="R161" s="30">
        <f>((S161-Q161)/2)+Q161</f>
        <v>582.5</v>
      </c>
      <c r="S161" s="30">
        <v>675</v>
      </c>
    </row>
    <row r="162" spans="1:19" ht="8.5500000000000007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40"/>
      <c r="R162" s="40"/>
      <c r="S162" s="40"/>
    </row>
    <row r="163" spans="1:19" ht="9" customHeight="1" x14ac:dyDescent="0.25">
      <c r="A163" s="7"/>
      <c r="B163" s="16" t="s">
        <v>139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41"/>
      <c r="R163" s="41"/>
      <c r="S163" s="41"/>
    </row>
    <row r="164" spans="1:19" ht="9" customHeight="1" x14ac:dyDescent="0.25">
      <c r="A164" s="8">
        <v>450032</v>
      </c>
      <c r="B164" s="9" t="s">
        <v>140</v>
      </c>
      <c r="C164" s="3"/>
      <c r="D164" s="3"/>
      <c r="E164" s="12" t="s">
        <v>8</v>
      </c>
      <c r="F164" s="12" t="s">
        <v>8</v>
      </c>
      <c r="G164" s="12" t="s">
        <v>8</v>
      </c>
      <c r="H164" s="12" t="s">
        <v>8</v>
      </c>
      <c r="I164" s="3"/>
      <c r="J164" s="3"/>
      <c r="K164" s="3"/>
      <c r="L164" s="3"/>
      <c r="M164" s="3"/>
      <c r="N164" s="3"/>
      <c r="O164" s="3"/>
      <c r="P164" s="3"/>
      <c r="Q164" s="37">
        <v>1185</v>
      </c>
      <c r="R164" s="37">
        <f>((S164-Q164)/2)+Q164</f>
        <v>1400</v>
      </c>
      <c r="S164" s="37">
        <v>1615</v>
      </c>
    </row>
    <row r="165" spans="1:19" ht="9" customHeight="1" x14ac:dyDescent="0.25">
      <c r="A165" s="5">
        <v>450111</v>
      </c>
      <c r="B165" s="6" t="s">
        <v>140</v>
      </c>
      <c r="C165" s="13" t="s">
        <v>8</v>
      </c>
      <c r="D165" s="13" t="s">
        <v>8</v>
      </c>
      <c r="E165" s="7"/>
      <c r="F165" s="7"/>
      <c r="G165" s="7"/>
      <c r="H165" s="13" t="s">
        <v>8</v>
      </c>
      <c r="I165" s="7"/>
      <c r="J165" s="7"/>
      <c r="K165" s="7"/>
      <c r="L165" s="7"/>
      <c r="M165" s="7"/>
      <c r="N165" s="7"/>
      <c r="O165" s="7"/>
      <c r="P165" s="7"/>
      <c r="Q165" s="30">
        <v>1185</v>
      </c>
      <c r="R165" s="30">
        <f>((S165-Q165)/2)+Q165</f>
        <v>1400</v>
      </c>
      <c r="S165" s="30">
        <v>1615</v>
      </c>
    </row>
    <row r="166" spans="1:19" ht="9" customHeight="1" x14ac:dyDescent="0.25">
      <c r="A166" s="8">
        <v>450233</v>
      </c>
      <c r="B166" s="9" t="s">
        <v>140</v>
      </c>
      <c r="C166" s="12" t="s">
        <v>8</v>
      </c>
      <c r="D166" s="12" t="s">
        <v>8</v>
      </c>
      <c r="E166" s="12" t="s">
        <v>8</v>
      </c>
      <c r="F166" s="12" t="s">
        <v>8</v>
      </c>
      <c r="G166" s="12" t="s">
        <v>8</v>
      </c>
      <c r="H166" s="3"/>
      <c r="I166" s="3"/>
      <c r="J166" s="3"/>
      <c r="K166" s="3"/>
      <c r="L166" s="3"/>
      <c r="M166" s="3"/>
      <c r="N166" s="3"/>
      <c r="O166" s="3"/>
      <c r="P166" s="3"/>
      <c r="Q166" s="37">
        <v>1125</v>
      </c>
      <c r="R166" s="37">
        <f>((S166-Q166)/2)+Q166</f>
        <v>1332.5</v>
      </c>
      <c r="S166" s="37">
        <v>1540</v>
      </c>
    </row>
    <row r="167" spans="1:19" ht="9" customHeight="1" x14ac:dyDescent="0.25">
      <c r="A167" s="5">
        <v>450130</v>
      </c>
      <c r="B167" s="6" t="s">
        <v>141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30">
        <v>485</v>
      </c>
      <c r="R167" s="30">
        <f>((S167-Q167)/2)+Q167</f>
        <v>572.5</v>
      </c>
      <c r="S167" s="30">
        <v>660</v>
      </c>
    </row>
    <row r="168" spans="1:19" ht="8.5500000000000007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40"/>
      <c r="R168" s="40"/>
      <c r="S168" s="40"/>
    </row>
    <row r="169" spans="1:19" ht="9" customHeight="1" x14ac:dyDescent="0.25">
      <c r="A169" s="7"/>
      <c r="B169" s="16" t="s">
        <v>142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41"/>
      <c r="R169" s="41"/>
      <c r="S169" s="41"/>
    </row>
    <row r="170" spans="1:19" ht="9" customHeight="1" x14ac:dyDescent="0.25">
      <c r="A170" s="8">
        <v>450080</v>
      </c>
      <c r="B170" s="9" t="s">
        <v>143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1">
        <v>305</v>
      </c>
      <c r="R170" s="31">
        <f t="shared" ref="R170:R179" si="5">((S170-Q170)/2)+Q170</f>
        <v>362.5</v>
      </c>
      <c r="S170" s="31">
        <v>420</v>
      </c>
    </row>
    <row r="171" spans="1:19" ht="9" customHeight="1" x14ac:dyDescent="0.25">
      <c r="A171" s="5">
        <v>450145</v>
      </c>
      <c r="B171" s="6" t="s">
        <v>144</v>
      </c>
      <c r="C171" s="7"/>
      <c r="D171" s="7"/>
      <c r="E171" s="7"/>
      <c r="F171" s="13" t="s">
        <v>8</v>
      </c>
      <c r="G171" s="13" t="s">
        <v>8</v>
      </c>
      <c r="H171" s="13" t="s">
        <v>8</v>
      </c>
      <c r="I171" s="7"/>
      <c r="J171" s="7"/>
      <c r="K171" s="7"/>
      <c r="L171" s="7"/>
      <c r="M171" s="7"/>
      <c r="N171" s="7"/>
      <c r="O171" s="7"/>
      <c r="P171" s="7"/>
      <c r="Q171" s="30">
        <v>990</v>
      </c>
      <c r="R171" s="30">
        <f t="shared" si="5"/>
        <v>1175</v>
      </c>
      <c r="S171" s="30">
        <v>1360</v>
      </c>
    </row>
    <row r="172" spans="1:19" ht="9" customHeight="1" x14ac:dyDescent="0.25">
      <c r="A172" s="8">
        <v>450203</v>
      </c>
      <c r="B172" s="9" t="s">
        <v>145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6">
        <v>1225</v>
      </c>
      <c r="R172" s="36">
        <f t="shared" si="5"/>
        <v>1445</v>
      </c>
      <c r="S172" s="36">
        <v>1665</v>
      </c>
    </row>
    <row r="173" spans="1:19" ht="9" customHeight="1" x14ac:dyDescent="0.25">
      <c r="A173" s="5">
        <v>450303</v>
      </c>
      <c r="B173" s="6" t="s">
        <v>146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1"/>
      <c r="P173" s="62"/>
      <c r="Q173" s="30">
        <v>75</v>
      </c>
      <c r="R173" s="30">
        <f t="shared" si="5"/>
        <v>92.5</v>
      </c>
      <c r="S173" s="30">
        <v>110</v>
      </c>
    </row>
    <row r="174" spans="1:19" ht="9" customHeight="1" x14ac:dyDescent="0.25">
      <c r="A174" s="8">
        <v>450499</v>
      </c>
      <c r="B174" s="9" t="s">
        <v>147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63"/>
      <c r="P174" s="55"/>
      <c r="Q174" s="37">
        <v>1110</v>
      </c>
      <c r="R174" s="37">
        <f t="shared" si="5"/>
        <v>1317.5</v>
      </c>
      <c r="S174" s="37">
        <v>1525</v>
      </c>
    </row>
    <row r="175" spans="1:19" ht="10.199999999999999" customHeight="1" x14ac:dyDescent="0.25">
      <c r="A175" s="5">
        <v>450123</v>
      </c>
      <c r="B175" s="51" t="s">
        <v>492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42">
        <v>645</v>
      </c>
      <c r="R175" s="30">
        <f t="shared" si="5"/>
        <v>767.5</v>
      </c>
      <c r="S175" s="42">
        <v>890</v>
      </c>
    </row>
    <row r="176" spans="1:19" ht="9" customHeight="1" x14ac:dyDescent="0.25">
      <c r="A176" s="8">
        <v>450246</v>
      </c>
      <c r="B176" s="9" t="s">
        <v>149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1">
        <v>105</v>
      </c>
      <c r="R176" s="31">
        <f t="shared" si="5"/>
        <v>120</v>
      </c>
      <c r="S176" s="31">
        <v>135</v>
      </c>
    </row>
    <row r="177" spans="1:19" ht="9" customHeight="1" x14ac:dyDescent="0.25">
      <c r="A177" s="5">
        <v>450302</v>
      </c>
      <c r="B177" s="6" t="s">
        <v>150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30">
        <v>45</v>
      </c>
      <c r="R177" s="30">
        <f t="shared" si="5"/>
        <v>50</v>
      </c>
      <c r="S177" s="30">
        <v>55</v>
      </c>
    </row>
    <row r="178" spans="1:19" ht="9" customHeight="1" x14ac:dyDescent="0.25">
      <c r="A178" s="8">
        <v>450568</v>
      </c>
      <c r="B178" s="9" t="s">
        <v>151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1">
        <v>250</v>
      </c>
      <c r="R178" s="31">
        <f t="shared" si="5"/>
        <v>300</v>
      </c>
      <c r="S178" s="31">
        <v>350</v>
      </c>
    </row>
    <row r="179" spans="1:19" ht="9" customHeight="1" x14ac:dyDescent="0.25">
      <c r="A179" s="5">
        <v>450700</v>
      </c>
      <c r="B179" s="6" t="s">
        <v>152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30">
        <v>4790</v>
      </c>
      <c r="R179" s="30">
        <f t="shared" si="5"/>
        <v>6070</v>
      </c>
      <c r="S179" s="30">
        <v>7350</v>
      </c>
    </row>
    <row r="180" spans="1:19" ht="8.5500000000000007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40"/>
      <c r="R180" s="40"/>
      <c r="S180" s="40"/>
    </row>
    <row r="181" spans="1:19" ht="9" customHeight="1" x14ac:dyDescent="0.25">
      <c r="A181" s="7"/>
      <c r="B181" s="16" t="s">
        <v>153</v>
      </c>
      <c r="C181" s="17" t="s">
        <v>121</v>
      </c>
      <c r="D181" s="18">
        <v>1.1000000000000001</v>
      </c>
      <c r="E181" s="17" t="s">
        <v>154</v>
      </c>
      <c r="F181" s="18">
        <v>1.2</v>
      </c>
      <c r="G181" s="18">
        <v>1.3</v>
      </c>
      <c r="H181" s="18">
        <v>2</v>
      </c>
      <c r="I181" s="17" t="s">
        <v>155</v>
      </c>
      <c r="J181" s="18">
        <v>3</v>
      </c>
      <c r="K181" s="18">
        <v>5</v>
      </c>
      <c r="L181" s="18">
        <v>6</v>
      </c>
      <c r="M181" s="18">
        <v>7</v>
      </c>
      <c r="N181" s="7"/>
      <c r="O181" s="7"/>
      <c r="P181" s="7"/>
      <c r="Q181" s="41"/>
      <c r="R181" s="41"/>
      <c r="S181" s="41"/>
    </row>
    <row r="182" spans="1:19" ht="9" customHeight="1" x14ac:dyDescent="0.25">
      <c r="A182" s="8">
        <v>450071</v>
      </c>
      <c r="B182" s="9" t="s">
        <v>6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1">
        <v>245</v>
      </c>
      <c r="R182" s="31">
        <f t="shared" ref="R182:R208" si="6">((S182-Q182)/2)+Q182</f>
        <v>292.5</v>
      </c>
      <c r="S182" s="31">
        <v>340</v>
      </c>
    </row>
    <row r="183" spans="1:19" ht="9" customHeight="1" x14ac:dyDescent="0.25">
      <c r="A183" s="5">
        <v>450086</v>
      </c>
      <c r="B183" s="6" t="s">
        <v>9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30">
        <v>25</v>
      </c>
      <c r="R183" s="30">
        <f t="shared" si="6"/>
        <v>27.5</v>
      </c>
      <c r="S183" s="30">
        <v>30</v>
      </c>
    </row>
    <row r="184" spans="1:19" ht="9" customHeight="1" x14ac:dyDescent="0.25">
      <c r="A184" s="8">
        <v>450087</v>
      </c>
      <c r="B184" s="9" t="s">
        <v>7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1">
        <v>25</v>
      </c>
      <c r="R184" s="31">
        <f t="shared" si="6"/>
        <v>27.5</v>
      </c>
      <c r="S184" s="31">
        <v>30</v>
      </c>
    </row>
    <row r="185" spans="1:19" ht="9" customHeight="1" x14ac:dyDescent="0.25">
      <c r="A185" s="5">
        <v>450072</v>
      </c>
      <c r="B185" s="6" t="s">
        <v>18</v>
      </c>
      <c r="C185" s="7"/>
      <c r="D185" s="13" t="s">
        <v>8</v>
      </c>
      <c r="E185" s="13" t="s">
        <v>8</v>
      </c>
      <c r="F185" s="13" t="s">
        <v>8</v>
      </c>
      <c r="G185" s="13" t="s">
        <v>8</v>
      </c>
      <c r="H185" s="13" t="s">
        <v>8</v>
      </c>
      <c r="I185" s="7"/>
      <c r="J185" s="7"/>
      <c r="K185" s="7"/>
      <c r="L185" s="7"/>
      <c r="M185" s="7"/>
      <c r="N185" s="7"/>
      <c r="O185" s="7"/>
      <c r="P185" s="7"/>
      <c r="Q185" s="30">
        <v>25</v>
      </c>
      <c r="R185" s="30">
        <f t="shared" si="6"/>
        <v>27.5</v>
      </c>
      <c r="S185" s="30">
        <v>30</v>
      </c>
    </row>
    <row r="186" spans="1:19" ht="9" customHeight="1" x14ac:dyDescent="0.25">
      <c r="A186" s="8">
        <v>450075</v>
      </c>
      <c r="B186" s="9" t="s">
        <v>21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1">
        <v>105</v>
      </c>
      <c r="R186" s="31">
        <f t="shared" si="6"/>
        <v>120</v>
      </c>
      <c r="S186" s="31">
        <v>135</v>
      </c>
    </row>
    <row r="187" spans="1:19" ht="9" customHeight="1" x14ac:dyDescent="0.25">
      <c r="A187" s="5">
        <v>450074</v>
      </c>
      <c r="B187" s="6" t="s">
        <v>22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30">
        <v>250</v>
      </c>
      <c r="R187" s="30">
        <f t="shared" si="6"/>
        <v>297.5</v>
      </c>
      <c r="S187" s="30">
        <v>345</v>
      </c>
    </row>
    <row r="188" spans="1:19" ht="9" customHeight="1" x14ac:dyDescent="0.25">
      <c r="A188" s="8">
        <v>450073</v>
      </c>
      <c r="B188" s="9" t="s">
        <v>23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1">
        <v>105</v>
      </c>
      <c r="R188" s="31">
        <f t="shared" si="6"/>
        <v>125</v>
      </c>
      <c r="S188" s="31">
        <v>145</v>
      </c>
    </row>
    <row r="189" spans="1:19" ht="9" customHeight="1" x14ac:dyDescent="0.25">
      <c r="A189" s="5">
        <v>450036</v>
      </c>
      <c r="B189" s="6" t="s">
        <v>20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30">
        <v>115</v>
      </c>
      <c r="R189" s="30">
        <f t="shared" si="6"/>
        <v>140</v>
      </c>
      <c r="S189" s="30">
        <v>165</v>
      </c>
    </row>
    <row r="190" spans="1:19" ht="9" customHeight="1" x14ac:dyDescent="0.25">
      <c r="A190" s="8">
        <v>450077</v>
      </c>
      <c r="B190" s="9" t="s">
        <v>10</v>
      </c>
      <c r="C190" s="3"/>
      <c r="D190" s="12" t="s">
        <v>8</v>
      </c>
      <c r="E190" s="12" t="s">
        <v>8</v>
      </c>
      <c r="F190" s="12" t="s">
        <v>8</v>
      </c>
      <c r="G190" s="12" t="s">
        <v>8</v>
      </c>
      <c r="H190" s="12" t="s">
        <v>8</v>
      </c>
      <c r="I190" s="3"/>
      <c r="J190" s="3"/>
      <c r="K190" s="3"/>
      <c r="L190" s="3"/>
      <c r="M190" s="3"/>
      <c r="N190" s="3"/>
      <c r="O190" s="3"/>
      <c r="P190" s="3"/>
      <c r="Q190" s="31">
        <v>15</v>
      </c>
      <c r="R190" s="31">
        <f t="shared" si="6"/>
        <v>20</v>
      </c>
      <c r="S190" s="31">
        <v>25</v>
      </c>
    </row>
    <row r="191" spans="1:19" ht="9" customHeight="1" x14ac:dyDescent="0.25">
      <c r="A191" s="5">
        <v>450119</v>
      </c>
      <c r="B191" s="6" t="s">
        <v>11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30">
        <v>250</v>
      </c>
      <c r="R191" s="30">
        <f t="shared" si="6"/>
        <v>300</v>
      </c>
      <c r="S191" s="30">
        <v>350</v>
      </c>
    </row>
    <row r="192" spans="1:19" ht="9" customHeight="1" x14ac:dyDescent="0.25">
      <c r="A192" s="8">
        <v>450079</v>
      </c>
      <c r="B192" s="9" t="s">
        <v>12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1">
        <v>110</v>
      </c>
      <c r="R192" s="31">
        <f t="shared" si="6"/>
        <v>127.5</v>
      </c>
      <c r="S192" s="31">
        <v>145</v>
      </c>
    </row>
    <row r="193" spans="1:19" ht="9" customHeight="1" x14ac:dyDescent="0.25">
      <c r="A193" s="5">
        <v>450120</v>
      </c>
      <c r="B193" s="6" t="s">
        <v>13</v>
      </c>
      <c r="C193" s="7"/>
      <c r="D193" s="7"/>
      <c r="E193" s="7"/>
      <c r="F193" s="7"/>
      <c r="G193" s="7"/>
      <c r="H193" s="13" t="s">
        <v>8</v>
      </c>
      <c r="I193" s="13" t="s">
        <v>8</v>
      </c>
      <c r="J193" s="13" t="s">
        <v>8</v>
      </c>
      <c r="K193" s="13" t="s">
        <v>8</v>
      </c>
      <c r="L193" s="13" t="s">
        <v>8</v>
      </c>
      <c r="M193" s="13" t="s">
        <v>8</v>
      </c>
      <c r="N193" s="7"/>
      <c r="O193" s="7"/>
      <c r="P193" s="7"/>
      <c r="Q193" s="30">
        <v>105</v>
      </c>
      <c r="R193" s="30">
        <f t="shared" si="6"/>
        <v>125</v>
      </c>
      <c r="S193" s="30">
        <v>145</v>
      </c>
    </row>
    <row r="194" spans="1:19" ht="9" customHeight="1" x14ac:dyDescent="0.25">
      <c r="A194" s="8">
        <v>450076</v>
      </c>
      <c r="B194" s="9" t="s">
        <v>14</v>
      </c>
      <c r="C194" s="3"/>
      <c r="D194" s="12" t="s">
        <v>8</v>
      </c>
      <c r="E194" s="12" t="s">
        <v>8</v>
      </c>
      <c r="F194" s="12" t="s">
        <v>8</v>
      </c>
      <c r="G194" s="12" t="s">
        <v>8</v>
      </c>
      <c r="H194" s="12" t="s">
        <v>8</v>
      </c>
      <c r="I194" s="12" t="s">
        <v>8</v>
      </c>
      <c r="J194" s="12" t="s">
        <v>8</v>
      </c>
      <c r="K194" s="12" t="s">
        <v>8</v>
      </c>
      <c r="L194" s="12" t="s">
        <v>8</v>
      </c>
      <c r="M194" s="12" t="s">
        <v>8</v>
      </c>
      <c r="N194" s="3"/>
      <c r="O194" s="3"/>
      <c r="P194" s="3"/>
      <c r="Q194" s="31">
        <v>115</v>
      </c>
      <c r="R194" s="31">
        <f t="shared" si="6"/>
        <v>140</v>
      </c>
      <c r="S194" s="31">
        <v>165</v>
      </c>
    </row>
    <row r="195" spans="1:19" ht="9" customHeight="1" x14ac:dyDescent="0.25">
      <c r="A195" s="5">
        <v>450043</v>
      </c>
      <c r="B195" s="6" t="s">
        <v>15</v>
      </c>
      <c r="C195" s="13" t="s">
        <v>8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30">
        <v>95</v>
      </c>
      <c r="R195" s="30">
        <f t="shared" si="6"/>
        <v>115</v>
      </c>
      <c r="S195" s="30">
        <v>135</v>
      </c>
    </row>
    <row r="196" spans="1:19" ht="9" customHeight="1" x14ac:dyDescent="0.25">
      <c r="A196" s="8">
        <v>450037</v>
      </c>
      <c r="B196" s="9" t="s">
        <v>16</v>
      </c>
      <c r="C196" s="12" t="s">
        <v>8</v>
      </c>
      <c r="D196" s="12" t="s">
        <v>8</v>
      </c>
      <c r="E196" s="12" t="s">
        <v>8</v>
      </c>
      <c r="F196" s="12" t="s">
        <v>8</v>
      </c>
      <c r="G196" s="12" t="s">
        <v>8</v>
      </c>
      <c r="H196" s="12" t="s">
        <v>8</v>
      </c>
      <c r="I196" s="12" t="s">
        <v>8</v>
      </c>
      <c r="J196" s="3"/>
      <c r="K196" s="3"/>
      <c r="L196" s="3"/>
      <c r="M196" s="3"/>
      <c r="N196" s="3"/>
      <c r="O196" s="3"/>
      <c r="P196" s="3"/>
      <c r="Q196" s="31">
        <v>705</v>
      </c>
      <c r="R196" s="31">
        <f t="shared" si="6"/>
        <v>832.5</v>
      </c>
      <c r="S196" s="31">
        <v>960</v>
      </c>
    </row>
    <row r="197" spans="1:19" ht="9" customHeight="1" x14ac:dyDescent="0.25">
      <c r="A197" s="5">
        <v>450044</v>
      </c>
      <c r="B197" s="6" t="s">
        <v>17</v>
      </c>
      <c r="C197" s="13" t="s">
        <v>8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30">
        <v>245</v>
      </c>
      <c r="R197" s="30">
        <f t="shared" si="6"/>
        <v>287.5</v>
      </c>
      <c r="S197" s="30">
        <v>330</v>
      </c>
    </row>
    <row r="198" spans="1:19" ht="9" customHeight="1" x14ac:dyDescent="0.25">
      <c r="A198" s="8">
        <v>450055</v>
      </c>
      <c r="B198" s="9" t="s">
        <v>24</v>
      </c>
      <c r="C198" s="3"/>
      <c r="D198" s="3"/>
      <c r="E198" s="3"/>
      <c r="F198" s="3"/>
      <c r="G198" s="3"/>
      <c r="H198" s="3"/>
      <c r="I198" s="3"/>
      <c r="J198" s="12" t="s">
        <v>8</v>
      </c>
      <c r="K198" s="12" t="s">
        <v>8</v>
      </c>
      <c r="L198" s="12" t="s">
        <v>8</v>
      </c>
      <c r="M198" s="12" t="s">
        <v>8</v>
      </c>
      <c r="N198" s="3"/>
      <c r="O198" s="3"/>
      <c r="P198" s="3"/>
      <c r="Q198" s="31">
        <v>810</v>
      </c>
      <c r="R198" s="31">
        <f t="shared" si="6"/>
        <v>960</v>
      </c>
      <c r="S198" s="31">
        <v>1110</v>
      </c>
    </row>
    <row r="199" spans="1:19" ht="9" customHeight="1" x14ac:dyDescent="0.25">
      <c r="A199" s="5">
        <v>450348</v>
      </c>
      <c r="B199" s="6" t="s">
        <v>27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30">
        <v>30</v>
      </c>
      <c r="R199" s="30">
        <f t="shared" si="6"/>
        <v>37.5</v>
      </c>
      <c r="S199" s="30">
        <v>45</v>
      </c>
    </row>
    <row r="200" spans="1:19" ht="9" customHeight="1" x14ac:dyDescent="0.25">
      <c r="A200" s="8">
        <v>450565</v>
      </c>
      <c r="B200" s="9" t="s">
        <v>28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1">
        <v>2810</v>
      </c>
      <c r="R200" s="31">
        <f t="shared" si="6"/>
        <v>3330</v>
      </c>
      <c r="S200" s="31">
        <v>3850</v>
      </c>
    </row>
    <row r="201" spans="1:19" ht="9" customHeight="1" x14ac:dyDescent="0.25">
      <c r="A201" s="5">
        <v>450566</v>
      </c>
      <c r="B201" s="6" t="s">
        <v>29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30">
        <v>3115</v>
      </c>
      <c r="R201" s="30">
        <f t="shared" si="6"/>
        <v>3700</v>
      </c>
      <c r="S201" s="30">
        <v>4285</v>
      </c>
    </row>
    <row r="202" spans="1:19" ht="9" customHeight="1" x14ac:dyDescent="0.25">
      <c r="A202" s="8">
        <v>450623</v>
      </c>
      <c r="B202" s="9" t="s">
        <v>30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1">
        <v>105</v>
      </c>
      <c r="R202" s="31">
        <f t="shared" si="6"/>
        <v>120</v>
      </c>
      <c r="S202" s="31">
        <v>135</v>
      </c>
    </row>
    <row r="203" spans="1:19" ht="9" customHeight="1" x14ac:dyDescent="0.25">
      <c r="A203" s="5">
        <v>450635</v>
      </c>
      <c r="B203" s="6" t="s">
        <v>31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30">
        <v>115</v>
      </c>
      <c r="R203" s="30">
        <f t="shared" si="6"/>
        <v>132.5</v>
      </c>
      <c r="S203" s="30">
        <v>150</v>
      </c>
    </row>
    <row r="204" spans="1:19" ht="9" customHeight="1" x14ac:dyDescent="0.25">
      <c r="A204" s="8">
        <v>450687</v>
      </c>
      <c r="B204" s="9" t="s">
        <v>32</v>
      </c>
      <c r="C204" s="3"/>
      <c r="D204" s="12" t="s">
        <v>8</v>
      </c>
      <c r="E204" s="12" t="s">
        <v>8</v>
      </c>
      <c r="F204" s="12" t="s">
        <v>8</v>
      </c>
      <c r="G204" s="12" t="s">
        <v>8</v>
      </c>
      <c r="H204" s="12" t="s">
        <v>8</v>
      </c>
      <c r="I204" s="12" t="s">
        <v>8</v>
      </c>
      <c r="J204" s="12" t="s">
        <v>8</v>
      </c>
      <c r="K204" s="12" t="s">
        <v>8</v>
      </c>
      <c r="L204" s="12" t="s">
        <v>8</v>
      </c>
      <c r="M204" s="12" t="s">
        <v>8</v>
      </c>
      <c r="N204" s="3"/>
      <c r="O204" s="3"/>
      <c r="P204" s="3"/>
      <c r="Q204" s="31">
        <v>115</v>
      </c>
      <c r="R204" s="31">
        <f t="shared" si="6"/>
        <v>132.5</v>
      </c>
      <c r="S204" s="31">
        <v>150</v>
      </c>
    </row>
    <row r="205" spans="1:19" ht="9" customHeight="1" x14ac:dyDescent="0.25">
      <c r="A205" s="5">
        <v>450712</v>
      </c>
      <c r="B205" s="6" t="s">
        <v>33</v>
      </c>
      <c r="C205" s="7"/>
      <c r="D205" s="13" t="s">
        <v>8</v>
      </c>
      <c r="E205" s="13" t="s">
        <v>8</v>
      </c>
      <c r="F205" s="13" t="s">
        <v>8</v>
      </c>
      <c r="G205" s="13" t="s">
        <v>8</v>
      </c>
      <c r="H205" s="13" t="s">
        <v>8</v>
      </c>
      <c r="I205" s="13" t="s">
        <v>8</v>
      </c>
      <c r="J205" s="13" t="s">
        <v>8</v>
      </c>
      <c r="K205" s="13" t="s">
        <v>8</v>
      </c>
      <c r="L205" s="13" t="s">
        <v>8</v>
      </c>
      <c r="M205" s="13" t="s">
        <v>8</v>
      </c>
      <c r="N205" s="7"/>
      <c r="O205" s="7"/>
      <c r="P205" s="7"/>
      <c r="Q205" s="30">
        <v>70</v>
      </c>
      <c r="R205" s="30">
        <f t="shared" si="6"/>
        <v>80</v>
      </c>
      <c r="S205" s="30">
        <v>90</v>
      </c>
    </row>
    <row r="206" spans="1:19" ht="9" customHeight="1" x14ac:dyDescent="0.25">
      <c r="A206" s="8">
        <v>450264</v>
      </c>
      <c r="B206" s="9" t="s">
        <v>34</v>
      </c>
      <c r="C206" s="12" t="s">
        <v>8</v>
      </c>
      <c r="D206" s="12" t="s">
        <v>8</v>
      </c>
      <c r="E206" s="12" t="s">
        <v>8</v>
      </c>
      <c r="F206" s="12" t="s">
        <v>8</v>
      </c>
      <c r="G206" s="12" t="s">
        <v>8</v>
      </c>
      <c r="H206" s="12" t="s">
        <v>8</v>
      </c>
      <c r="I206" s="12" t="s">
        <v>8</v>
      </c>
      <c r="J206" s="3"/>
      <c r="K206" s="3"/>
      <c r="L206" s="3"/>
      <c r="M206" s="3"/>
      <c r="N206" s="3"/>
      <c r="O206" s="3"/>
      <c r="P206" s="3"/>
      <c r="Q206" s="31">
        <v>50</v>
      </c>
      <c r="R206" s="31">
        <f t="shared" si="6"/>
        <v>62.5</v>
      </c>
      <c r="S206" s="31">
        <v>75</v>
      </c>
    </row>
    <row r="207" spans="1:19" ht="9" customHeight="1" x14ac:dyDescent="0.25">
      <c r="A207" s="5">
        <v>450681</v>
      </c>
      <c r="B207" s="6" t="s">
        <v>35</v>
      </c>
      <c r="C207" s="7"/>
      <c r="D207" s="7"/>
      <c r="E207" s="7"/>
      <c r="F207" s="7"/>
      <c r="G207" s="7"/>
      <c r="H207" s="13" t="s">
        <v>8</v>
      </c>
      <c r="I207" s="13" t="s">
        <v>8</v>
      </c>
      <c r="J207" s="13" t="s">
        <v>8</v>
      </c>
      <c r="K207" s="13" t="s">
        <v>8</v>
      </c>
      <c r="L207" s="13" t="s">
        <v>8</v>
      </c>
      <c r="M207" s="13" t="s">
        <v>8</v>
      </c>
      <c r="N207" s="7"/>
      <c r="O207" s="7"/>
      <c r="P207" s="7"/>
      <c r="Q207" s="30">
        <v>135</v>
      </c>
      <c r="R207" s="30">
        <f t="shared" si="6"/>
        <v>172.5</v>
      </c>
      <c r="S207" s="30">
        <v>210</v>
      </c>
    </row>
    <row r="208" spans="1:19" ht="9" customHeight="1" x14ac:dyDescent="0.25">
      <c r="A208" s="8">
        <v>450743</v>
      </c>
      <c r="B208" s="9" t="s">
        <v>36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1">
        <v>205</v>
      </c>
      <c r="R208" s="31">
        <f t="shared" si="6"/>
        <v>257.5</v>
      </c>
      <c r="S208" s="31">
        <v>310</v>
      </c>
    </row>
    <row r="209" spans="1:19" ht="8.5500000000000007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41"/>
      <c r="R209" s="41"/>
      <c r="S209" s="41"/>
    </row>
    <row r="210" spans="1:19" ht="9" customHeight="1" x14ac:dyDescent="0.25">
      <c r="A210" s="3"/>
      <c r="B210" s="4" t="s">
        <v>156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40"/>
      <c r="R210" s="40"/>
      <c r="S210" s="40"/>
    </row>
    <row r="211" spans="1:19" ht="9" customHeight="1" x14ac:dyDescent="0.25">
      <c r="A211" s="5">
        <v>450001</v>
      </c>
      <c r="B211" s="6" t="s">
        <v>41</v>
      </c>
      <c r="C211" s="7"/>
      <c r="D211" s="13" t="s">
        <v>8</v>
      </c>
      <c r="E211" s="13" t="s">
        <v>8</v>
      </c>
      <c r="F211" s="13" t="s">
        <v>8</v>
      </c>
      <c r="G211" s="13" t="s">
        <v>8</v>
      </c>
      <c r="H211" s="13" t="s">
        <v>8</v>
      </c>
      <c r="I211" s="13" t="s">
        <v>8</v>
      </c>
      <c r="J211" s="13" t="s">
        <v>8</v>
      </c>
      <c r="K211" s="13" t="s">
        <v>8</v>
      </c>
      <c r="L211" s="13" t="s">
        <v>8</v>
      </c>
      <c r="M211" s="13" t="s">
        <v>8</v>
      </c>
      <c r="N211" s="7"/>
      <c r="O211" s="7"/>
      <c r="P211" s="7"/>
      <c r="Q211" s="30">
        <v>990</v>
      </c>
      <c r="R211" s="30">
        <f t="shared" ref="R211:R221" si="7">((S211-Q211)/2)+Q211</f>
        <v>1175</v>
      </c>
      <c r="S211" s="30">
        <v>1360</v>
      </c>
    </row>
    <row r="212" spans="1:19" ht="9" customHeight="1" x14ac:dyDescent="0.25">
      <c r="A212" s="8">
        <v>450104</v>
      </c>
      <c r="B212" s="9" t="s">
        <v>41</v>
      </c>
      <c r="C212" s="12" t="s">
        <v>8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1">
        <v>420</v>
      </c>
      <c r="R212" s="31">
        <f t="shared" si="7"/>
        <v>500</v>
      </c>
      <c r="S212" s="31">
        <v>580</v>
      </c>
    </row>
    <row r="213" spans="1:19" ht="9" customHeight="1" x14ac:dyDescent="0.25">
      <c r="A213" s="5">
        <v>450006</v>
      </c>
      <c r="B213" s="6" t="s">
        <v>157</v>
      </c>
      <c r="C213" s="7"/>
      <c r="D213" s="7"/>
      <c r="E213" s="7"/>
      <c r="F213" s="7"/>
      <c r="G213" s="7"/>
      <c r="H213" s="7"/>
      <c r="I213" s="7"/>
      <c r="J213" s="13" t="s">
        <v>8</v>
      </c>
      <c r="K213" s="13" t="s">
        <v>8</v>
      </c>
      <c r="L213" s="13" t="s">
        <v>8</v>
      </c>
      <c r="M213" s="13" t="s">
        <v>8</v>
      </c>
      <c r="N213" s="7"/>
      <c r="O213" s="7"/>
      <c r="P213" s="7"/>
      <c r="Q213" s="30">
        <v>3045</v>
      </c>
      <c r="R213" s="30">
        <f t="shared" si="7"/>
        <v>3610</v>
      </c>
      <c r="S213" s="30">
        <v>4175</v>
      </c>
    </row>
    <row r="214" spans="1:19" ht="9" customHeight="1" x14ac:dyDescent="0.25">
      <c r="A214" s="8">
        <v>450007</v>
      </c>
      <c r="B214" s="9" t="s">
        <v>158</v>
      </c>
      <c r="C214" s="3"/>
      <c r="D214" s="3"/>
      <c r="E214" s="3"/>
      <c r="F214" s="3"/>
      <c r="G214" s="3"/>
      <c r="H214" s="3"/>
      <c r="I214" s="3"/>
      <c r="J214" s="12" t="s">
        <v>8</v>
      </c>
      <c r="K214" s="12" t="s">
        <v>8</v>
      </c>
      <c r="L214" s="12" t="s">
        <v>8</v>
      </c>
      <c r="M214" s="12" t="s">
        <v>8</v>
      </c>
      <c r="N214" s="3"/>
      <c r="O214" s="3"/>
      <c r="P214" s="3"/>
      <c r="Q214" s="31">
        <v>3045</v>
      </c>
      <c r="R214" s="31">
        <f t="shared" si="7"/>
        <v>3610</v>
      </c>
      <c r="S214" s="31">
        <v>4175</v>
      </c>
    </row>
    <row r="215" spans="1:19" ht="9" customHeight="1" x14ac:dyDescent="0.25">
      <c r="A215" s="5">
        <v>450230</v>
      </c>
      <c r="B215" s="6" t="s">
        <v>157</v>
      </c>
      <c r="C215" s="13" t="s">
        <v>8</v>
      </c>
      <c r="D215" s="13" t="s">
        <v>8</v>
      </c>
      <c r="E215" s="13" t="s">
        <v>8</v>
      </c>
      <c r="F215" s="13" t="s">
        <v>8</v>
      </c>
      <c r="G215" s="13" t="s">
        <v>8</v>
      </c>
      <c r="H215" s="13" t="s">
        <v>8</v>
      </c>
      <c r="I215" s="13" t="s">
        <v>8</v>
      </c>
      <c r="J215" s="7"/>
      <c r="K215" s="7"/>
      <c r="L215" s="7"/>
      <c r="M215" s="7"/>
      <c r="N215" s="7"/>
      <c r="O215" s="7"/>
      <c r="P215" s="7"/>
      <c r="Q215" s="30">
        <v>3680</v>
      </c>
      <c r="R215" s="30">
        <f t="shared" si="7"/>
        <v>4365</v>
      </c>
      <c r="S215" s="30">
        <v>5050</v>
      </c>
    </row>
    <row r="216" spans="1:19" ht="9" customHeight="1" x14ac:dyDescent="0.25">
      <c r="A216" s="15">
        <v>450231</v>
      </c>
      <c r="B216" s="9" t="s">
        <v>158</v>
      </c>
      <c r="C216" s="12" t="s">
        <v>8</v>
      </c>
      <c r="D216" s="12" t="s">
        <v>8</v>
      </c>
      <c r="E216" s="12" t="s">
        <v>8</v>
      </c>
      <c r="F216" s="12" t="s">
        <v>8</v>
      </c>
      <c r="G216" s="12" t="s">
        <v>8</v>
      </c>
      <c r="H216" s="12" t="s">
        <v>8</v>
      </c>
      <c r="I216" s="12" t="s">
        <v>8</v>
      </c>
      <c r="J216" s="3"/>
      <c r="K216" s="3"/>
      <c r="L216" s="3"/>
      <c r="M216" s="3"/>
      <c r="N216" s="3"/>
      <c r="O216" s="3"/>
      <c r="P216" s="3"/>
      <c r="Q216" s="31">
        <v>3680</v>
      </c>
      <c r="R216" s="31">
        <f t="shared" si="7"/>
        <v>4365</v>
      </c>
      <c r="S216" s="31">
        <v>5050</v>
      </c>
    </row>
    <row r="217" spans="1:19" ht="9" customHeight="1" x14ac:dyDescent="0.25">
      <c r="A217" s="5">
        <v>450374</v>
      </c>
      <c r="B217" s="6" t="s">
        <v>159</v>
      </c>
      <c r="C217" s="7"/>
      <c r="D217" s="7"/>
      <c r="E217" s="7"/>
      <c r="F217" s="7"/>
      <c r="G217" s="7"/>
      <c r="H217" s="7"/>
      <c r="I217" s="7"/>
      <c r="J217" s="13" t="s">
        <v>8</v>
      </c>
      <c r="K217" s="13" t="s">
        <v>8</v>
      </c>
      <c r="L217" s="13" t="s">
        <v>8</v>
      </c>
      <c r="M217" s="13" t="s">
        <v>8</v>
      </c>
      <c r="N217" s="7"/>
      <c r="O217" s="7"/>
      <c r="P217" s="7"/>
      <c r="Q217" s="30">
        <v>1910</v>
      </c>
      <c r="R217" s="30">
        <f t="shared" si="7"/>
        <v>2265</v>
      </c>
      <c r="S217" s="30">
        <v>2620</v>
      </c>
    </row>
    <row r="218" spans="1:19" ht="9" customHeight="1" x14ac:dyDescent="0.25">
      <c r="A218" s="8">
        <v>450009</v>
      </c>
      <c r="B218" s="9" t="s">
        <v>39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1">
        <v>130</v>
      </c>
      <c r="R218" s="31">
        <f t="shared" si="7"/>
        <v>152.5</v>
      </c>
      <c r="S218" s="31">
        <v>175</v>
      </c>
    </row>
    <row r="219" spans="1:19" ht="9" customHeight="1" x14ac:dyDescent="0.25">
      <c r="A219" s="5">
        <v>450281</v>
      </c>
      <c r="B219" s="6" t="s">
        <v>40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30">
        <v>270</v>
      </c>
      <c r="R219" s="30">
        <f t="shared" si="7"/>
        <v>317.5</v>
      </c>
      <c r="S219" s="30">
        <v>365</v>
      </c>
    </row>
    <row r="220" spans="1:19" ht="9" customHeight="1" x14ac:dyDescent="0.25">
      <c r="A220" s="8">
        <v>450010</v>
      </c>
      <c r="B220" s="9" t="s">
        <v>160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1">
        <v>600</v>
      </c>
      <c r="R220" s="31">
        <f t="shared" si="7"/>
        <v>710</v>
      </c>
      <c r="S220" s="31">
        <v>820</v>
      </c>
    </row>
    <row r="221" spans="1:19" ht="9" customHeight="1" x14ac:dyDescent="0.25">
      <c r="A221" s="5">
        <v>450296</v>
      </c>
      <c r="B221" s="6" t="s">
        <v>161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30">
        <v>2545</v>
      </c>
      <c r="R221" s="30">
        <f t="shared" si="7"/>
        <v>3022.5</v>
      </c>
      <c r="S221" s="30">
        <v>3500</v>
      </c>
    </row>
    <row r="222" spans="1:19" ht="9" customHeight="1" x14ac:dyDescent="0.25">
      <c r="A222" s="8">
        <v>452010</v>
      </c>
      <c r="B222" s="9" t="s">
        <v>45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1">
        <v>635</v>
      </c>
      <c r="R222" s="31"/>
      <c r="S222" s="31">
        <v>875</v>
      </c>
    </row>
    <row r="223" spans="1:19" ht="9" customHeight="1" x14ac:dyDescent="0.25">
      <c r="A223" s="5">
        <v>450854</v>
      </c>
      <c r="B223" s="6" t="s">
        <v>47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30">
        <v>395</v>
      </c>
      <c r="R223" s="30">
        <f>((S223-Q223)/2)+Q223</f>
        <v>435</v>
      </c>
      <c r="S223" s="30">
        <v>475</v>
      </c>
    </row>
    <row r="224" spans="1:19" ht="8.5500000000000007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40"/>
      <c r="R224" s="40"/>
      <c r="S224" s="40"/>
    </row>
    <row r="225" spans="1:19" ht="9" customHeight="1" x14ac:dyDescent="0.25">
      <c r="A225" s="7"/>
      <c r="B225" s="16" t="s">
        <v>162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41"/>
      <c r="R225" s="41"/>
      <c r="S225" s="41"/>
    </row>
    <row r="226" spans="1:19" ht="9" customHeight="1" x14ac:dyDescent="0.25">
      <c r="A226" s="8">
        <v>450054</v>
      </c>
      <c r="B226" s="9" t="s">
        <v>49</v>
      </c>
      <c r="C226" s="3"/>
      <c r="D226" s="12" t="s">
        <v>8</v>
      </c>
      <c r="E226" s="12" t="s">
        <v>8</v>
      </c>
      <c r="F226" s="12" t="s">
        <v>8</v>
      </c>
      <c r="G226" s="12" t="s">
        <v>8</v>
      </c>
      <c r="H226" s="12" t="s">
        <v>8</v>
      </c>
      <c r="I226" s="12" t="s">
        <v>8</v>
      </c>
      <c r="J226" s="12" t="s">
        <v>8</v>
      </c>
      <c r="K226" s="12" t="s">
        <v>8</v>
      </c>
      <c r="L226" s="12" t="s">
        <v>8</v>
      </c>
      <c r="M226" s="12" t="s">
        <v>8</v>
      </c>
      <c r="N226" s="3"/>
      <c r="O226" s="3"/>
      <c r="P226" s="3"/>
      <c r="Q226" s="31">
        <v>490</v>
      </c>
      <c r="R226" s="31">
        <f>((S226-Q226)/2)+Q226</f>
        <v>582.5</v>
      </c>
      <c r="S226" s="31">
        <v>675</v>
      </c>
    </row>
    <row r="227" spans="1:19" ht="9" customHeight="1" x14ac:dyDescent="0.25">
      <c r="A227" s="5">
        <v>450295</v>
      </c>
      <c r="B227" s="6" t="s">
        <v>50</v>
      </c>
      <c r="C227" s="13" t="s">
        <v>8</v>
      </c>
      <c r="D227" s="13" t="s">
        <v>8</v>
      </c>
      <c r="E227" s="13" t="s">
        <v>8</v>
      </c>
      <c r="F227" s="13" t="s">
        <v>8</v>
      </c>
      <c r="G227" s="13" t="s">
        <v>8</v>
      </c>
      <c r="H227" s="13" t="s">
        <v>8</v>
      </c>
      <c r="I227" s="13" t="s">
        <v>8</v>
      </c>
      <c r="J227" s="13" t="s">
        <v>8</v>
      </c>
      <c r="K227" s="7"/>
      <c r="L227" s="7"/>
      <c r="M227" s="7"/>
      <c r="N227" s="7"/>
      <c r="O227" s="7"/>
      <c r="P227" s="7"/>
      <c r="Q227" s="30">
        <v>3085</v>
      </c>
      <c r="R227" s="30">
        <f>((S227-Q227)/2)+Q227</f>
        <v>3657.5</v>
      </c>
      <c r="S227" s="30">
        <v>4230</v>
      </c>
    </row>
    <row r="228" spans="1:19" ht="9" customHeight="1" x14ac:dyDescent="0.25">
      <c r="A228" s="8">
        <v>450602</v>
      </c>
      <c r="B228" s="9" t="s">
        <v>163</v>
      </c>
      <c r="C228" s="3"/>
      <c r="D228" s="3"/>
      <c r="E228" s="3"/>
      <c r="F228" s="3"/>
      <c r="G228" s="3"/>
      <c r="H228" s="3"/>
      <c r="I228" s="3"/>
      <c r="J228" s="3"/>
      <c r="K228" s="12" t="s">
        <v>8</v>
      </c>
      <c r="L228" s="12" t="s">
        <v>8</v>
      </c>
      <c r="M228" s="12" t="s">
        <v>8</v>
      </c>
      <c r="N228" s="3"/>
      <c r="O228" s="3"/>
      <c r="P228" s="3"/>
      <c r="Q228" s="31">
        <v>2385</v>
      </c>
      <c r="R228" s="31">
        <f>((S228-Q228)/2)+Q228</f>
        <v>2652.5</v>
      </c>
      <c r="S228" s="31">
        <v>2920</v>
      </c>
    </row>
    <row r="229" spans="1:19" ht="8.5500000000000007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41"/>
      <c r="R229" s="41"/>
      <c r="S229" s="41"/>
    </row>
    <row r="230" spans="1:19" ht="9" customHeight="1" x14ac:dyDescent="0.25">
      <c r="A230" s="3"/>
      <c r="B230" s="4" t="s">
        <v>164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40"/>
      <c r="R230" s="40"/>
      <c r="S230" s="40"/>
    </row>
    <row r="231" spans="1:19" ht="9" customHeight="1" x14ac:dyDescent="0.25">
      <c r="A231" s="5">
        <v>450143</v>
      </c>
      <c r="B231" s="6" t="s">
        <v>53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30">
        <v>265</v>
      </c>
      <c r="R231" s="30">
        <f t="shared" ref="R231:R248" si="8">((S231-Q231)/2)+Q231</f>
        <v>315</v>
      </c>
      <c r="S231" s="30">
        <v>365</v>
      </c>
    </row>
    <row r="232" spans="1:19" ht="9" customHeight="1" x14ac:dyDescent="0.25">
      <c r="A232" s="8">
        <v>450065</v>
      </c>
      <c r="B232" s="9" t="s">
        <v>54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1">
        <v>525</v>
      </c>
      <c r="R232" s="31">
        <f t="shared" si="8"/>
        <v>622.5</v>
      </c>
      <c r="S232" s="31">
        <v>720</v>
      </c>
    </row>
    <row r="233" spans="1:19" ht="9" customHeight="1" x14ac:dyDescent="0.25">
      <c r="A233" s="5">
        <v>450068</v>
      </c>
      <c r="B233" s="6" t="s">
        <v>165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30">
        <v>155</v>
      </c>
      <c r="R233" s="30">
        <f t="shared" si="8"/>
        <v>185</v>
      </c>
      <c r="S233" s="30">
        <v>215</v>
      </c>
    </row>
    <row r="234" spans="1:19" ht="9" customHeight="1" x14ac:dyDescent="0.25">
      <c r="A234" s="8">
        <v>450019</v>
      </c>
      <c r="B234" s="9" t="s">
        <v>166</v>
      </c>
      <c r="C234" s="3"/>
      <c r="D234" s="3"/>
      <c r="E234" s="3"/>
      <c r="F234" s="3"/>
      <c r="G234" s="3"/>
      <c r="H234" s="3"/>
      <c r="I234" s="3"/>
      <c r="J234" s="12" t="s">
        <v>8</v>
      </c>
      <c r="K234" s="12" t="s">
        <v>8</v>
      </c>
      <c r="L234" s="12" t="s">
        <v>8</v>
      </c>
      <c r="M234" s="12" t="s">
        <v>8</v>
      </c>
      <c r="N234" s="3"/>
      <c r="O234" s="3"/>
      <c r="P234" s="3"/>
      <c r="Q234" s="31">
        <v>735</v>
      </c>
      <c r="R234" s="31">
        <f t="shared" si="8"/>
        <v>867.5</v>
      </c>
      <c r="S234" s="50">
        <v>1000</v>
      </c>
    </row>
    <row r="235" spans="1:19" ht="9" customHeight="1" x14ac:dyDescent="0.25">
      <c r="A235" s="5">
        <v>450239</v>
      </c>
      <c r="B235" s="6" t="s">
        <v>166</v>
      </c>
      <c r="C235" s="13" t="s">
        <v>8</v>
      </c>
      <c r="D235" s="13" t="s">
        <v>8</v>
      </c>
      <c r="E235" s="13" t="s">
        <v>8</v>
      </c>
      <c r="F235" s="13" t="s">
        <v>8</v>
      </c>
      <c r="G235" s="13" t="s">
        <v>8</v>
      </c>
      <c r="H235" s="13" t="s">
        <v>8</v>
      </c>
      <c r="I235" s="13" t="s">
        <v>8</v>
      </c>
      <c r="J235" s="7"/>
      <c r="K235" s="7"/>
      <c r="L235" s="7"/>
      <c r="M235" s="7"/>
      <c r="N235" s="7"/>
      <c r="O235" s="7"/>
      <c r="P235" s="7"/>
      <c r="Q235" s="30">
        <v>470</v>
      </c>
      <c r="R235" s="30">
        <f t="shared" si="8"/>
        <v>557.5</v>
      </c>
      <c r="S235" s="30">
        <v>645</v>
      </c>
    </row>
    <row r="236" spans="1:19" ht="9" customHeight="1" x14ac:dyDescent="0.25">
      <c r="A236" s="8">
        <v>450020</v>
      </c>
      <c r="B236" s="9" t="s">
        <v>167</v>
      </c>
      <c r="C236" s="3"/>
      <c r="D236" s="3"/>
      <c r="E236" s="3"/>
      <c r="F236" s="3"/>
      <c r="G236" s="3"/>
      <c r="H236" s="3"/>
      <c r="I236" s="3"/>
      <c r="J236" s="12" t="s">
        <v>8</v>
      </c>
      <c r="K236" s="12" t="s">
        <v>8</v>
      </c>
      <c r="L236" s="12" t="s">
        <v>8</v>
      </c>
      <c r="M236" s="12" t="s">
        <v>8</v>
      </c>
      <c r="N236" s="3"/>
      <c r="O236" s="3"/>
      <c r="P236" s="3"/>
      <c r="Q236" s="31">
        <v>485</v>
      </c>
      <c r="R236" s="31">
        <f t="shared" si="8"/>
        <v>575</v>
      </c>
      <c r="S236" s="31">
        <v>665</v>
      </c>
    </row>
    <row r="237" spans="1:19" ht="9" customHeight="1" x14ac:dyDescent="0.25">
      <c r="A237" s="5">
        <v>450240</v>
      </c>
      <c r="B237" s="6" t="s">
        <v>167</v>
      </c>
      <c r="C237" s="13" t="s">
        <v>8</v>
      </c>
      <c r="D237" s="13" t="s">
        <v>8</v>
      </c>
      <c r="E237" s="13" t="s">
        <v>8</v>
      </c>
      <c r="F237" s="13" t="s">
        <v>8</v>
      </c>
      <c r="G237" s="13" t="s">
        <v>8</v>
      </c>
      <c r="H237" s="13" t="s">
        <v>8</v>
      </c>
      <c r="I237" s="13" t="s">
        <v>8</v>
      </c>
      <c r="J237" s="7"/>
      <c r="K237" s="7"/>
      <c r="L237" s="7"/>
      <c r="M237" s="7"/>
      <c r="N237" s="7"/>
      <c r="O237" s="7"/>
      <c r="P237" s="7"/>
      <c r="Q237" s="30">
        <v>465</v>
      </c>
      <c r="R237" s="30">
        <f t="shared" si="8"/>
        <v>545</v>
      </c>
      <c r="S237" s="30">
        <v>625</v>
      </c>
    </row>
    <row r="238" spans="1:19" ht="9" customHeight="1" x14ac:dyDescent="0.25">
      <c r="A238" s="8">
        <v>450021</v>
      </c>
      <c r="B238" s="9" t="s">
        <v>168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1">
        <v>505</v>
      </c>
      <c r="R238" s="31">
        <f t="shared" si="8"/>
        <v>600</v>
      </c>
      <c r="S238" s="31">
        <v>695</v>
      </c>
    </row>
    <row r="239" spans="1:19" ht="9" customHeight="1" x14ac:dyDescent="0.25">
      <c r="A239" s="5">
        <v>450018</v>
      </c>
      <c r="B239" s="6" t="s">
        <v>169</v>
      </c>
      <c r="C239" s="7"/>
      <c r="D239" s="7"/>
      <c r="E239" s="13" t="s">
        <v>8</v>
      </c>
      <c r="F239" s="13" t="s">
        <v>8</v>
      </c>
      <c r="G239" s="13" t="s">
        <v>8</v>
      </c>
      <c r="H239" s="13" t="s">
        <v>8</v>
      </c>
      <c r="I239" s="13" t="s">
        <v>8</v>
      </c>
      <c r="J239" s="13" t="s">
        <v>8</v>
      </c>
      <c r="K239" s="13" t="s">
        <v>8</v>
      </c>
      <c r="L239" s="13" t="s">
        <v>8</v>
      </c>
      <c r="M239" s="13" t="s">
        <v>8</v>
      </c>
      <c r="N239" s="7"/>
      <c r="O239" s="7"/>
      <c r="P239" s="7"/>
      <c r="Q239" s="30">
        <v>955</v>
      </c>
      <c r="R239" s="30">
        <f t="shared" si="8"/>
        <v>1137.5</v>
      </c>
      <c r="S239" s="30">
        <v>1320</v>
      </c>
    </row>
    <row r="240" spans="1:19" ht="9" customHeight="1" x14ac:dyDescent="0.25">
      <c r="A240" s="8">
        <v>450110</v>
      </c>
      <c r="B240" s="9" t="s">
        <v>169</v>
      </c>
      <c r="C240" s="12" t="s">
        <v>8</v>
      </c>
      <c r="D240" s="12" t="s">
        <v>8</v>
      </c>
      <c r="E240" s="3"/>
      <c r="F240" s="3"/>
      <c r="G240" s="3"/>
      <c r="H240" s="3"/>
      <c r="I240" s="3"/>
      <c r="J240" s="12" t="s">
        <v>8</v>
      </c>
      <c r="K240" s="12" t="s">
        <v>8</v>
      </c>
      <c r="L240" s="12" t="s">
        <v>8</v>
      </c>
      <c r="M240" s="12" t="s">
        <v>8</v>
      </c>
      <c r="N240" s="3"/>
      <c r="O240" s="3"/>
      <c r="P240" s="3"/>
      <c r="Q240" s="31">
        <v>870</v>
      </c>
      <c r="R240" s="31">
        <f t="shared" si="8"/>
        <v>1027.5</v>
      </c>
      <c r="S240" s="31">
        <v>1185</v>
      </c>
    </row>
    <row r="241" spans="1:19" ht="9" customHeight="1" x14ac:dyDescent="0.25">
      <c r="A241" s="5">
        <v>450236</v>
      </c>
      <c r="B241" s="6" t="s">
        <v>169</v>
      </c>
      <c r="C241" s="13" t="s">
        <v>8</v>
      </c>
      <c r="D241" s="13" t="s">
        <v>8</v>
      </c>
      <c r="E241" s="13" t="s">
        <v>8</v>
      </c>
      <c r="F241" s="13" t="s">
        <v>8</v>
      </c>
      <c r="G241" s="13" t="s">
        <v>8</v>
      </c>
      <c r="H241" s="13" t="s">
        <v>8</v>
      </c>
      <c r="I241" s="13" t="s">
        <v>8</v>
      </c>
      <c r="J241" s="7"/>
      <c r="K241" s="7"/>
      <c r="L241" s="7"/>
      <c r="M241" s="7"/>
      <c r="N241" s="7"/>
      <c r="O241" s="7"/>
      <c r="P241" s="7"/>
      <c r="Q241" s="30">
        <v>910</v>
      </c>
      <c r="R241" s="30">
        <f t="shared" si="8"/>
        <v>1077.5</v>
      </c>
      <c r="S241" s="30">
        <v>1245</v>
      </c>
    </row>
    <row r="242" spans="1:19" ht="9" customHeight="1" x14ac:dyDescent="0.25">
      <c r="A242" s="8">
        <v>450046</v>
      </c>
      <c r="B242" s="9" t="s">
        <v>61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1">
        <v>50</v>
      </c>
      <c r="R242" s="31">
        <f t="shared" si="8"/>
        <v>60</v>
      </c>
      <c r="S242" s="31">
        <v>70</v>
      </c>
    </row>
    <row r="243" spans="1:19" ht="9" customHeight="1" x14ac:dyDescent="0.25">
      <c r="A243" s="5">
        <v>450041</v>
      </c>
      <c r="B243" s="6" t="s">
        <v>62</v>
      </c>
      <c r="C243" s="13" t="s">
        <v>8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30">
        <v>65</v>
      </c>
      <c r="R243" s="30">
        <f t="shared" si="8"/>
        <v>75</v>
      </c>
      <c r="S243" s="30">
        <v>85</v>
      </c>
    </row>
    <row r="244" spans="1:19" ht="9" customHeight="1" x14ac:dyDescent="0.25">
      <c r="A244" s="8">
        <v>450024</v>
      </c>
      <c r="B244" s="9" t="s">
        <v>63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1">
        <v>270</v>
      </c>
      <c r="R244" s="31">
        <f t="shared" si="8"/>
        <v>320</v>
      </c>
      <c r="S244" s="31">
        <v>370</v>
      </c>
    </row>
    <row r="245" spans="1:19" ht="9" customHeight="1" x14ac:dyDescent="0.25">
      <c r="A245" s="5">
        <v>450344</v>
      </c>
      <c r="B245" s="6" t="s">
        <v>170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30">
        <v>125</v>
      </c>
      <c r="R245" s="30">
        <f t="shared" si="8"/>
        <v>145</v>
      </c>
      <c r="S245" s="30">
        <v>165</v>
      </c>
    </row>
    <row r="246" spans="1:19" ht="9" customHeight="1" x14ac:dyDescent="0.25">
      <c r="A246" s="8">
        <v>450678</v>
      </c>
      <c r="B246" s="9" t="s">
        <v>171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1">
        <v>350</v>
      </c>
      <c r="R246" s="31">
        <f t="shared" si="8"/>
        <v>410</v>
      </c>
      <c r="S246" s="31">
        <v>470</v>
      </c>
    </row>
    <row r="247" spans="1:19" ht="9" customHeight="1" x14ac:dyDescent="0.25">
      <c r="A247" s="5">
        <v>450265</v>
      </c>
      <c r="B247" s="6" t="s">
        <v>65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30">
        <v>135</v>
      </c>
      <c r="R247" s="30">
        <f t="shared" si="8"/>
        <v>155</v>
      </c>
      <c r="S247" s="30">
        <v>175</v>
      </c>
    </row>
    <row r="248" spans="1:19" ht="9" customHeight="1" x14ac:dyDescent="0.25">
      <c r="A248" s="8">
        <v>450297</v>
      </c>
      <c r="B248" s="9" t="s">
        <v>66</v>
      </c>
      <c r="C248" s="12" t="s">
        <v>8</v>
      </c>
      <c r="D248" s="12" t="s">
        <v>8</v>
      </c>
      <c r="E248" s="12" t="s">
        <v>8</v>
      </c>
      <c r="F248" s="12" t="s">
        <v>8</v>
      </c>
      <c r="G248" s="12" t="s">
        <v>8</v>
      </c>
      <c r="H248" s="12" t="s">
        <v>8</v>
      </c>
      <c r="I248" s="12" t="s">
        <v>8</v>
      </c>
      <c r="J248" s="3"/>
      <c r="K248" s="3"/>
      <c r="L248" s="3"/>
      <c r="M248" s="3"/>
      <c r="N248" s="3"/>
      <c r="O248" s="3"/>
      <c r="P248" s="3"/>
      <c r="Q248" s="31">
        <v>45</v>
      </c>
      <c r="R248" s="31">
        <f t="shared" si="8"/>
        <v>55</v>
      </c>
      <c r="S248" s="31">
        <v>65</v>
      </c>
    </row>
    <row r="249" spans="1:19" ht="9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41"/>
      <c r="R249" s="41"/>
      <c r="S249" s="41"/>
    </row>
    <row r="250" spans="1:19" ht="9" customHeight="1" x14ac:dyDescent="0.25">
      <c r="A250" s="3"/>
      <c r="B250" s="4" t="s">
        <v>172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40"/>
      <c r="R250" s="40"/>
      <c r="S250" s="40"/>
    </row>
    <row r="251" spans="1:19" ht="9" customHeight="1" x14ac:dyDescent="0.25">
      <c r="A251" s="5">
        <v>450126</v>
      </c>
      <c r="B251" s="6" t="s">
        <v>68</v>
      </c>
      <c r="C251" s="13" t="s">
        <v>8</v>
      </c>
      <c r="D251" s="13" t="s">
        <v>8</v>
      </c>
      <c r="E251" s="13" t="s">
        <v>8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30">
        <v>545</v>
      </c>
      <c r="R251" s="30">
        <f>((S251-Q251)/2)+Q251</f>
        <v>650</v>
      </c>
      <c r="S251" s="30">
        <v>755</v>
      </c>
    </row>
    <row r="252" spans="1:19" ht="9" customHeight="1" x14ac:dyDescent="0.25">
      <c r="A252" s="8">
        <v>450114</v>
      </c>
      <c r="B252" s="9" t="s">
        <v>173</v>
      </c>
      <c r="C252" s="3"/>
      <c r="D252" s="3"/>
      <c r="E252" s="3"/>
      <c r="F252" s="12" t="s">
        <v>8</v>
      </c>
      <c r="G252" s="12" t="s">
        <v>8</v>
      </c>
      <c r="H252" s="12" t="s">
        <v>8</v>
      </c>
      <c r="I252" s="12" t="s">
        <v>8</v>
      </c>
      <c r="J252" s="12" t="s">
        <v>8</v>
      </c>
      <c r="K252" s="12" t="s">
        <v>8</v>
      </c>
      <c r="L252" s="12" t="s">
        <v>8</v>
      </c>
      <c r="M252" s="12" t="s">
        <v>8</v>
      </c>
      <c r="N252" s="3"/>
      <c r="O252" s="3"/>
      <c r="P252" s="3"/>
      <c r="Q252" s="31">
        <v>1215</v>
      </c>
      <c r="R252" s="31">
        <f>((S252-Q252)/2)+Q252</f>
        <v>1445</v>
      </c>
      <c r="S252" s="31">
        <v>1675</v>
      </c>
    </row>
    <row r="253" spans="1:19" ht="9" customHeight="1" x14ac:dyDescent="0.25">
      <c r="A253" s="5">
        <v>450062</v>
      </c>
      <c r="B253" s="6" t="s">
        <v>70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30">
        <v>325</v>
      </c>
      <c r="R253" s="30">
        <f>((S253-Q253)/2)+Q253</f>
        <v>385</v>
      </c>
      <c r="S253" s="30">
        <v>445</v>
      </c>
    </row>
    <row r="254" spans="1:19" ht="9" customHeight="1" x14ac:dyDescent="0.25">
      <c r="A254" s="8">
        <v>450061</v>
      </c>
      <c r="B254" s="9" t="s">
        <v>71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1">
        <v>145</v>
      </c>
      <c r="R254" s="31">
        <f t="shared" ref="R254:R255" si="9">((S254-Q254)/2)+Q254</f>
        <v>170</v>
      </c>
      <c r="S254" s="31">
        <v>195</v>
      </c>
    </row>
    <row r="255" spans="1:19" ht="9" customHeight="1" x14ac:dyDescent="0.25">
      <c r="A255" s="5">
        <v>450060</v>
      </c>
      <c r="B255" s="6" t="s">
        <v>72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30">
        <v>3490</v>
      </c>
      <c r="R255" s="30">
        <f t="shared" si="9"/>
        <v>4142.5</v>
      </c>
      <c r="S255" s="30">
        <v>4795</v>
      </c>
    </row>
    <row r="256" spans="1:19" ht="9" customHeight="1" x14ac:dyDescent="0.25">
      <c r="A256" s="8">
        <v>450059</v>
      </c>
      <c r="B256" s="9" t="s">
        <v>73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1">
        <v>10</v>
      </c>
      <c r="R256" s="31">
        <f>((S256-Q256)/2)+Q256</f>
        <v>12.5</v>
      </c>
      <c r="S256" s="31">
        <v>15</v>
      </c>
    </row>
    <row r="257" spans="1:19" ht="9" customHeight="1" x14ac:dyDescent="0.25">
      <c r="A257" s="5">
        <v>450138</v>
      </c>
      <c r="B257" s="6" t="s">
        <v>75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30">
        <v>460</v>
      </c>
      <c r="R257" s="30">
        <f>((S257-Q257)/2)+Q257</f>
        <v>542.5</v>
      </c>
      <c r="S257" s="30">
        <v>625</v>
      </c>
    </row>
    <row r="258" spans="1:19" ht="9" customHeight="1" x14ac:dyDescent="0.25">
      <c r="A258" s="8">
        <v>450139</v>
      </c>
      <c r="B258" s="9" t="s">
        <v>76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1">
        <v>55</v>
      </c>
      <c r="R258" s="31">
        <f>((S258-Q258)/2)+Q258</f>
        <v>62.5</v>
      </c>
      <c r="S258" s="31">
        <v>70</v>
      </c>
    </row>
    <row r="259" spans="1:19" ht="9" customHeight="1" x14ac:dyDescent="0.25">
      <c r="A259" s="5">
        <v>450140</v>
      </c>
      <c r="B259" s="6" t="s">
        <v>77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30">
        <v>640</v>
      </c>
      <c r="R259" s="30">
        <f>((S259-Q259)/2)+Q259</f>
        <v>757.5</v>
      </c>
      <c r="S259" s="30">
        <v>875</v>
      </c>
    </row>
    <row r="260" spans="1:19" ht="9" customHeight="1" x14ac:dyDescent="0.25">
      <c r="A260" s="8">
        <v>450141</v>
      </c>
      <c r="B260" s="9" t="s">
        <v>78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1">
        <v>525</v>
      </c>
      <c r="R260" s="31"/>
      <c r="S260" s="31">
        <v>725</v>
      </c>
    </row>
    <row r="261" spans="1:19" ht="9" customHeight="1" x14ac:dyDescent="0.25">
      <c r="A261" s="5">
        <v>450142</v>
      </c>
      <c r="B261" s="6" t="s">
        <v>79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30">
        <v>705</v>
      </c>
      <c r="R261" s="30">
        <f>((S261-Q261)/2)+Q261</f>
        <v>840</v>
      </c>
      <c r="S261" s="30">
        <v>975</v>
      </c>
    </row>
    <row r="262" spans="1:19" ht="9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40"/>
      <c r="R262" s="40"/>
      <c r="S262" s="40"/>
    </row>
    <row r="263" spans="1:19" ht="9" customHeight="1" x14ac:dyDescent="0.25">
      <c r="A263" s="7"/>
      <c r="B263" s="16" t="s">
        <v>174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41"/>
      <c r="R263" s="41"/>
      <c r="S263" s="41"/>
    </row>
    <row r="264" spans="1:19" ht="9" customHeight="1" x14ac:dyDescent="0.25">
      <c r="A264" s="8">
        <v>450050</v>
      </c>
      <c r="B264" s="9" t="s">
        <v>81</v>
      </c>
      <c r="C264" s="12" t="s">
        <v>8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1">
        <v>25</v>
      </c>
      <c r="R264" s="31">
        <f t="shared" ref="R264:R301" si="10">((S264-Q264)/2)+Q264</f>
        <v>27.5</v>
      </c>
      <c r="S264" s="31">
        <v>30</v>
      </c>
    </row>
    <row r="265" spans="1:19" ht="9" customHeight="1" x14ac:dyDescent="0.25">
      <c r="A265" s="5">
        <v>450000</v>
      </c>
      <c r="B265" s="6" t="s">
        <v>82</v>
      </c>
      <c r="C265" s="7"/>
      <c r="D265" s="13" t="s">
        <v>8</v>
      </c>
      <c r="E265" s="13" t="s">
        <v>8</v>
      </c>
      <c r="F265" s="13" t="s">
        <v>8</v>
      </c>
      <c r="G265" s="13" t="s">
        <v>8</v>
      </c>
      <c r="H265" s="13" t="s">
        <v>8</v>
      </c>
      <c r="I265" s="13" t="s">
        <v>8</v>
      </c>
      <c r="J265" s="13" t="s">
        <v>8</v>
      </c>
      <c r="K265" s="13" t="s">
        <v>8</v>
      </c>
      <c r="L265" s="13" t="s">
        <v>8</v>
      </c>
      <c r="M265" s="13" t="s">
        <v>8</v>
      </c>
      <c r="N265" s="7"/>
      <c r="O265" s="7"/>
      <c r="P265" s="7"/>
      <c r="Q265" s="30">
        <v>580</v>
      </c>
      <c r="R265" s="30">
        <f t="shared" si="10"/>
        <v>687.5</v>
      </c>
      <c r="S265" s="30">
        <v>795</v>
      </c>
    </row>
    <row r="266" spans="1:19" ht="9" customHeight="1" x14ac:dyDescent="0.25">
      <c r="A266" s="8">
        <v>450259</v>
      </c>
      <c r="B266" s="9" t="s">
        <v>83</v>
      </c>
      <c r="C266" s="12" t="s">
        <v>8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1">
        <v>325</v>
      </c>
      <c r="R266" s="31">
        <f t="shared" si="10"/>
        <v>385</v>
      </c>
      <c r="S266" s="31">
        <v>445</v>
      </c>
    </row>
    <row r="267" spans="1:19" ht="9" customHeight="1" x14ac:dyDescent="0.25">
      <c r="A267" s="5">
        <v>450101</v>
      </c>
      <c r="B267" s="6" t="s">
        <v>175</v>
      </c>
      <c r="C267" s="7"/>
      <c r="D267" s="13" t="s">
        <v>8</v>
      </c>
      <c r="E267" s="13" t="s">
        <v>8</v>
      </c>
      <c r="F267" s="13" t="s">
        <v>8</v>
      </c>
      <c r="G267" s="13" t="s">
        <v>8</v>
      </c>
      <c r="H267" s="13" t="s">
        <v>8</v>
      </c>
      <c r="I267" s="13" t="s">
        <v>8</v>
      </c>
      <c r="J267" s="13" t="s">
        <v>8</v>
      </c>
      <c r="K267" s="13" t="s">
        <v>8</v>
      </c>
      <c r="L267" s="13" t="s">
        <v>8</v>
      </c>
      <c r="M267" s="13" t="s">
        <v>8</v>
      </c>
      <c r="N267" s="7"/>
      <c r="O267" s="7"/>
      <c r="P267" s="7"/>
      <c r="Q267" s="30">
        <v>815</v>
      </c>
      <c r="R267" s="30">
        <f t="shared" si="10"/>
        <v>960</v>
      </c>
      <c r="S267" s="30">
        <v>1105</v>
      </c>
    </row>
    <row r="268" spans="1:19" ht="9" customHeight="1" x14ac:dyDescent="0.25">
      <c r="A268" s="8">
        <v>450042</v>
      </c>
      <c r="B268" s="9" t="s">
        <v>84</v>
      </c>
      <c r="C268" s="12" t="s">
        <v>8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1">
        <v>165</v>
      </c>
      <c r="R268" s="31">
        <f t="shared" si="10"/>
        <v>195</v>
      </c>
      <c r="S268" s="31">
        <v>225</v>
      </c>
    </row>
    <row r="269" spans="1:19" ht="9" customHeight="1" x14ac:dyDescent="0.25">
      <c r="A269" s="5">
        <v>450493</v>
      </c>
      <c r="B269" s="6" t="s">
        <v>85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30">
        <v>1210</v>
      </c>
      <c r="R269" s="30">
        <f t="shared" si="10"/>
        <v>1432.5</v>
      </c>
      <c r="S269" s="30">
        <v>1655</v>
      </c>
    </row>
    <row r="270" spans="1:19" ht="9" customHeight="1" x14ac:dyDescent="0.25">
      <c r="A270" s="8">
        <v>450047</v>
      </c>
      <c r="B270" s="9" t="s">
        <v>86</v>
      </c>
      <c r="C270" s="12" t="s">
        <v>8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1">
        <v>110</v>
      </c>
      <c r="R270" s="31">
        <f t="shared" si="10"/>
        <v>127.5</v>
      </c>
      <c r="S270" s="31">
        <v>145</v>
      </c>
    </row>
    <row r="271" spans="1:19" ht="9" customHeight="1" x14ac:dyDescent="0.25">
      <c r="A271" s="5">
        <v>450131</v>
      </c>
      <c r="B271" s="6" t="s">
        <v>87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30">
        <v>500</v>
      </c>
      <c r="R271" s="30">
        <f t="shared" si="10"/>
        <v>592.5</v>
      </c>
      <c r="S271" s="30">
        <v>685</v>
      </c>
    </row>
    <row r="272" spans="1:19" ht="9" customHeight="1" x14ac:dyDescent="0.25">
      <c r="A272" s="8">
        <v>450014</v>
      </c>
      <c r="B272" s="9" t="s">
        <v>89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1">
        <v>285</v>
      </c>
      <c r="R272" s="31">
        <f t="shared" si="10"/>
        <v>337.5</v>
      </c>
      <c r="S272" s="31">
        <v>390</v>
      </c>
    </row>
    <row r="273" spans="1:19" ht="9" customHeight="1" x14ac:dyDescent="0.25">
      <c r="A273" s="5">
        <v>450272</v>
      </c>
      <c r="B273" s="6" t="s">
        <v>90</v>
      </c>
      <c r="C273" s="7"/>
      <c r="D273" s="7"/>
      <c r="E273" s="7"/>
      <c r="F273" s="7"/>
      <c r="G273" s="7"/>
      <c r="H273" s="7"/>
      <c r="I273" s="7"/>
      <c r="J273" s="13" t="s">
        <v>8</v>
      </c>
      <c r="K273" s="13" t="s">
        <v>8</v>
      </c>
      <c r="L273" s="13" t="s">
        <v>8</v>
      </c>
      <c r="M273" s="13" t="s">
        <v>8</v>
      </c>
      <c r="N273" s="7"/>
      <c r="O273" s="7"/>
      <c r="P273" s="7"/>
      <c r="Q273" s="30">
        <v>1425</v>
      </c>
      <c r="R273" s="30">
        <f t="shared" si="10"/>
        <v>1690</v>
      </c>
      <c r="S273" s="30">
        <v>1955</v>
      </c>
    </row>
    <row r="274" spans="1:19" ht="9" customHeight="1" x14ac:dyDescent="0.25">
      <c r="A274" s="8">
        <v>450371</v>
      </c>
      <c r="B274" s="9" t="s">
        <v>90</v>
      </c>
      <c r="C274" s="12" t="s">
        <v>8</v>
      </c>
      <c r="D274" s="12" t="s">
        <v>8</v>
      </c>
      <c r="E274" s="12" t="s">
        <v>8</v>
      </c>
      <c r="F274" s="12" t="s">
        <v>8</v>
      </c>
      <c r="G274" s="12" t="s">
        <v>8</v>
      </c>
      <c r="H274" s="12" t="s">
        <v>8</v>
      </c>
      <c r="I274" s="12" t="s">
        <v>8</v>
      </c>
      <c r="J274" s="3"/>
      <c r="K274" s="3"/>
      <c r="L274" s="3"/>
      <c r="M274" s="3"/>
      <c r="N274" s="3"/>
      <c r="O274" s="3"/>
      <c r="P274" s="3"/>
      <c r="Q274" s="31">
        <v>1325</v>
      </c>
      <c r="R274" s="31">
        <f t="shared" si="10"/>
        <v>1570</v>
      </c>
      <c r="S274" s="31">
        <v>1815</v>
      </c>
    </row>
    <row r="275" spans="1:19" ht="9" customHeight="1" x14ac:dyDescent="0.25">
      <c r="A275" s="5">
        <v>450135</v>
      </c>
      <c r="B275" s="6" t="s">
        <v>91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30">
        <v>45</v>
      </c>
      <c r="R275" s="30">
        <f t="shared" si="10"/>
        <v>50</v>
      </c>
      <c r="S275" s="30">
        <v>55</v>
      </c>
    </row>
    <row r="276" spans="1:19" ht="9" customHeight="1" x14ac:dyDescent="0.25">
      <c r="A276" s="8">
        <v>450513</v>
      </c>
      <c r="B276" s="9" t="s">
        <v>176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1">
        <v>10</v>
      </c>
      <c r="R276" s="31">
        <f t="shared" si="10"/>
        <v>12.5</v>
      </c>
      <c r="S276" s="31">
        <v>15</v>
      </c>
    </row>
    <row r="277" spans="1:19" ht="9" customHeight="1" x14ac:dyDescent="0.25">
      <c r="A277" s="5">
        <v>450563</v>
      </c>
      <c r="B277" s="6" t="s">
        <v>94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30">
        <v>85</v>
      </c>
      <c r="R277" s="30">
        <f t="shared" si="10"/>
        <v>97.5</v>
      </c>
      <c r="S277" s="30">
        <v>110</v>
      </c>
    </row>
    <row r="278" spans="1:19" ht="9" customHeight="1" x14ac:dyDescent="0.25">
      <c r="A278" s="8">
        <v>450601</v>
      </c>
      <c r="B278" s="9" t="s">
        <v>95</v>
      </c>
      <c r="C278" s="12" t="s">
        <v>8</v>
      </c>
      <c r="D278" s="12" t="s">
        <v>8</v>
      </c>
      <c r="E278" s="12" t="s">
        <v>8</v>
      </c>
      <c r="F278" s="12" t="s">
        <v>8</v>
      </c>
      <c r="G278" s="12" t="s">
        <v>8</v>
      </c>
      <c r="H278" s="12" t="s">
        <v>8</v>
      </c>
      <c r="I278" s="12" t="s">
        <v>8</v>
      </c>
      <c r="J278" s="12" t="s">
        <v>8</v>
      </c>
      <c r="K278" s="3"/>
      <c r="L278" s="3"/>
      <c r="M278" s="3"/>
      <c r="N278" s="3"/>
      <c r="O278" s="3"/>
      <c r="P278" s="3"/>
      <c r="Q278" s="31">
        <v>65</v>
      </c>
      <c r="R278" s="31">
        <f t="shared" si="10"/>
        <v>77.5</v>
      </c>
      <c r="S278" s="31">
        <v>90</v>
      </c>
    </row>
    <row r="279" spans="1:19" ht="9" customHeight="1" x14ac:dyDescent="0.25">
      <c r="A279" s="5">
        <v>450620</v>
      </c>
      <c r="B279" s="6" t="s">
        <v>96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30">
        <v>125</v>
      </c>
      <c r="R279" s="30">
        <f t="shared" si="10"/>
        <v>145</v>
      </c>
      <c r="S279" s="30">
        <v>165</v>
      </c>
    </row>
    <row r="280" spans="1:19" ht="9" customHeight="1" x14ac:dyDescent="0.25">
      <c r="A280" s="8">
        <v>450624</v>
      </c>
      <c r="B280" s="9" t="s">
        <v>97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1">
        <v>325</v>
      </c>
      <c r="R280" s="31">
        <f t="shared" si="10"/>
        <v>375</v>
      </c>
      <c r="S280" s="31">
        <v>425</v>
      </c>
    </row>
    <row r="281" spans="1:19" ht="9" customHeight="1" x14ac:dyDescent="0.25">
      <c r="A281" s="5">
        <v>450005</v>
      </c>
      <c r="B281" s="6" t="s">
        <v>99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30">
        <v>2685</v>
      </c>
      <c r="R281" s="30">
        <f t="shared" si="10"/>
        <v>3185</v>
      </c>
      <c r="S281" s="30">
        <v>3685</v>
      </c>
    </row>
    <row r="282" spans="1:19" ht="9" customHeight="1" x14ac:dyDescent="0.25">
      <c r="A282" s="8">
        <v>450028</v>
      </c>
      <c r="B282" s="9" t="s">
        <v>177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1">
        <v>50</v>
      </c>
      <c r="R282" s="31">
        <f t="shared" si="10"/>
        <v>57.5</v>
      </c>
      <c r="S282" s="31">
        <v>65</v>
      </c>
    </row>
    <row r="283" spans="1:19" ht="9" customHeight="1" x14ac:dyDescent="0.25">
      <c r="A283" s="14">
        <v>450269</v>
      </c>
      <c r="B283" s="6" t="s">
        <v>100</v>
      </c>
      <c r="C283" s="13" t="s">
        <v>8</v>
      </c>
      <c r="D283" s="13" t="s">
        <v>8</v>
      </c>
      <c r="E283" s="13" t="s">
        <v>8</v>
      </c>
      <c r="F283" s="13" t="s">
        <v>8</v>
      </c>
      <c r="G283" s="13" t="s">
        <v>8</v>
      </c>
      <c r="H283" s="13" t="s">
        <v>8</v>
      </c>
      <c r="I283" s="13" t="s">
        <v>8</v>
      </c>
      <c r="J283" s="7"/>
      <c r="K283" s="7"/>
      <c r="L283" s="7"/>
      <c r="M283" s="7"/>
      <c r="N283" s="7"/>
      <c r="O283" s="7"/>
      <c r="P283" s="7"/>
      <c r="Q283" s="30">
        <v>105</v>
      </c>
      <c r="R283" s="30">
        <f t="shared" si="10"/>
        <v>120</v>
      </c>
      <c r="S283" s="30">
        <v>135</v>
      </c>
    </row>
    <row r="284" spans="1:19" ht="9" customHeight="1" x14ac:dyDescent="0.25">
      <c r="A284" s="15">
        <v>450612</v>
      </c>
      <c r="B284" s="9" t="s">
        <v>101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1">
        <v>50</v>
      </c>
      <c r="R284" s="31">
        <f t="shared" si="10"/>
        <v>60</v>
      </c>
      <c r="S284" s="31">
        <v>70</v>
      </c>
    </row>
    <row r="285" spans="1:19" ht="9" customHeight="1" x14ac:dyDescent="0.25">
      <c r="A285" s="14">
        <v>450617</v>
      </c>
      <c r="B285" s="6" t="s">
        <v>178</v>
      </c>
      <c r="C285" s="13" t="s">
        <v>8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30">
        <v>50</v>
      </c>
      <c r="R285" s="30">
        <f t="shared" si="10"/>
        <v>60</v>
      </c>
      <c r="S285" s="30">
        <v>70</v>
      </c>
    </row>
    <row r="286" spans="1:19" ht="9" customHeight="1" x14ac:dyDescent="0.25">
      <c r="A286" s="15">
        <v>450649</v>
      </c>
      <c r="B286" s="9" t="s">
        <v>103</v>
      </c>
      <c r="C286" s="12" t="s">
        <v>8</v>
      </c>
      <c r="D286" s="12" t="s">
        <v>8</v>
      </c>
      <c r="E286" s="12" t="s">
        <v>8</v>
      </c>
      <c r="F286" s="12" t="s">
        <v>8</v>
      </c>
      <c r="G286" s="12" t="s">
        <v>8</v>
      </c>
      <c r="H286" s="12" t="s">
        <v>8</v>
      </c>
      <c r="I286" s="12" t="s">
        <v>8</v>
      </c>
      <c r="J286" s="12" t="s">
        <v>8</v>
      </c>
      <c r="K286" s="3"/>
      <c r="L286" s="3"/>
      <c r="M286" s="3"/>
      <c r="N286" s="3"/>
      <c r="O286" s="3"/>
      <c r="P286" s="3"/>
      <c r="Q286" s="31">
        <v>70</v>
      </c>
      <c r="R286" s="31">
        <f t="shared" si="10"/>
        <v>82.5</v>
      </c>
      <c r="S286" s="31">
        <v>95</v>
      </c>
    </row>
    <row r="287" spans="1:19" ht="9" customHeight="1" x14ac:dyDescent="0.25">
      <c r="A287" s="14">
        <v>450090</v>
      </c>
      <c r="B287" s="6" t="s">
        <v>104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30">
        <v>345</v>
      </c>
      <c r="R287" s="30">
        <f t="shared" si="10"/>
        <v>407.5</v>
      </c>
      <c r="S287" s="30">
        <v>470</v>
      </c>
    </row>
    <row r="288" spans="1:19" ht="9" customHeight="1" x14ac:dyDescent="0.25">
      <c r="A288" s="8">
        <v>450663</v>
      </c>
      <c r="B288" s="9" t="s">
        <v>105</v>
      </c>
      <c r="C288" s="12" t="s">
        <v>8</v>
      </c>
      <c r="D288" s="12" t="s">
        <v>8</v>
      </c>
      <c r="E288" s="12" t="s">
        <v>8</v>
      </c>
      <c r="F288" s="12" t="s">
        <v>8</v>
      </c>
      <c r="G288" s="12" t="s">
        <v>8</v>
      </c>
      <c r="H288" s="12" t="s">
        <v>8</v>
      </c>
      <c r="I288" s="12" t="s">
        <v>8</v>
      </c>
      <c r="J288" s="12" t="s">
        <v>8</v>
      </c>
      <c r="K288" s="3"/>
      <c r="L288" s="3"/>
      <c r="M288" s="3"/>
      <c r="N288" s="3"/>
      <c r="O288" s="3"/>
      <c r="P288" s="3"/>
      <c r="Q288" s="31">
        <v>125</v>
      </c>
      <c r="R288" s="31">
        <f t="shared" si="10"/>
        <v>147.5</v>
      </c>
      <c r="S288" s="31">
        <v>170</v>
      </c>
    </row>
    <row r="289" spans="1:19" ht="9" customHeight="1" x14ac:dyDescent="0.25">
      <c r="A289" s="5">
        <v>450379</v>
      </c>
      <c r="B289" s="6" t="s">
        <v>106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30">
        <v>840</v>
      </c>
      <c r="R289" s="30">
        <f t="shared" si="10"/>
        <v>1065</v>
      </c>
      <c r="S289" s="30">
        <v>1290</v>
      </c>
    </row>
    <row r="290" spans="1:19" ht="9" customHeight="1" x14ac:dyDescent="0.25">
      <c r="A290" s="8">
        <v>450183</v>
      </c>
      <c r="B290" s="9" t="s">
        <v>179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1">
        <v>25</v>
      </c>
      <c r="R290" s="31">
        <f t="shared" si="10"/>
        <v>27.5</v>
      </c>
      <c r="S290" s="31">
        <v>30</v>
      </c>
    </row>
    <row r="291" spans="1:19" ht="9" customHeight="1" x14ac:dyDescent="0.25">
      <c r="A291" s="5">
        <v>450675</v>
      </c>
      <c r="B291" s="6" t="s">
        <v>108</v>
      </c>
      <c r="C291" s="7"/>
      <c r="D291" s="7"/>
      <c r="E291" s="7"/>
      <c r="F291" s="7"/>
      <c r="G291" s="7"/>
      <c r="H291" s="13" t="s">
        <v>8</v>
      </c>
      <c r="I291" s="13" t="s">
        <v>8</v>
      </c>
      <c r="J291" s="13" t="s">
        <v>8</v>
      </c>
      <c r="K291" s="13" t="s">
        <v>8</v>
      </c>
      <c r="L291" s="13" t="s">
        <v>8</v>
      </c>
      <c r="M291" s="13" t="s">
        <v>8</v>
      </c>
      <c r="N291" s="7"/>
      <c r="O291" s="7"/>
      <c r="P291" s="7"/>
      <c r="Q291" s="30">
        <v>270</v>
      </c>
      <c r="R291" s="30">
        <f t="shared" si="10"/>
        <v>340</v>
      </c>
      <c r="S291" s="30">
        <v>410</v>
      </c>
    </row>
    <row r="292" spans="1:19" ht="9" customHeight="1" x14ac:dyDescent="0.25">
      <c r="A292" s="8">
        <v>450676</v>
      </c>
      <c r="B292" s="9" t="s">
        <v>109</v>
      </c>
      <c r="C292" s="12" t="s">
        <v>8</v>
      </c>
      <c r="D292" s="12" t="s">
        <v>8</v>
      </c>
      <c r="E292" s="12" t="s">
        <v>8</v>
      </c>
      <c r="F292" s="12" t="s">
        <v>8</v>
      </c>
      <c r="G292" s="12" t="s">
        <v>8</v>
      </c>
      <c r="H292" s="12" t="s">
        <v>8</v>
      </c>
      <c r="I292" s="12" t="s">
        <v>8</v>
      </c>
      <c r="J292" s="12" t="s">
        <v>8</v>
      </c>
      <c r="K292" s="3"/>
      <c r="L292" s="3"/>
      <c r="M292" s="3"/>
      <c r="N292" s="3"/>
      <c r="O292" s="3"/>
      <c r="P292" s="3"/>
      <c r="Q292" s="31">
        <v>270</v>
      </c>
      <c r="R292" s="31">
        <f t="shared" si="10"/>
        <v>340</v>
      </c>
      <c r="S292" s="31">
        <v>410</v>
      </c>
    </row>
    <row r="293" spans="1:19" ht="9" customHeight="1" x14ac:dyDescent="0.25">
      <c r="A293" s="5">
        <v>450677</v>
      </c>
      <c r="B293" s="6" t="s">
        <v>110</v>
      </c>
      <c r="C293" s="13" t="s">
        <v>8</v>
      </c>
      <c r="D293" s="13" t="s">
        <v>8</v>
      </c>
      <c r="E293" s="13" t="s">
        <v>8</v>
      </c>
      <c r="F293" s="13" t="s">
        <v>8</v>
      </c>
      <c r="G293" s="13" t="s">
        <v>8</v>
      </c>
      <c r="H293" s="13" t="s">
        <v>8</v>
      </c>
      <c r="I293" s="13" t="s">
        <v>8</v>
      </c>
      <c r="J293" s="13" t="s">
        <v>8</v>
      </c>
      <c r="K293" s="7"/>
      <c r="L293" s="7"/>
      <c r="M293" s="7"/>
      <c r="N293" s="7"/>
      <c r="O293" s="7"/>
      <c r="P293" s="7"/>
      <c r="Q293" s="30">
        <v>270</v>
      </c>
      <c r="R293" s="30">
        <f t="shared" si="10"/>
        <v>340</v>
      </c>
      <c r="S293" s="30">
        <v>410</v>
      </c>
    </row>
    <row r="294" spans="1:19" ht="9" customHeight="1" x14ac:dyDescent="0.25">
      <c r="A294" s="8">
        <v>450918</v>
      </c>
      <c r="B294" s="9" t="s">
        <v>180</v>
      </c>
      <c r="C294" s="12" t="s">
        <v>8</v>
      </c>
      <c r="D294" s="12" t="s">
        <v>8</v>
      </c>
      <c r="E294" s="12" t="s">
        <v>8</v>
      </c>
      <c r="F294" s="12" t="s">
        <v>8</v>
      </c>
      <c r="G294" s="12" t="s">
        <v>8</v>
      </c>
      <c r="H294" s="12" t="s">
        <v>8</v>
      </c>
      <c r="I294" s="12" t="s">
        <v>8</v>
      </c>
      <c r="J294" s="3"/>
      <c r="K294" s="12" t="s">
        <v>8</v>
      </c>
      <c r="L294" s="12" t="s">
        <v>8</v>
      </c>
      <c r="M294" s="12" t="s">
        <v>8</v>
      </c>
      <c r="N294" s="3"/>
      <c r="O294" s="3"/>
      <c r="P294" s="3"/>
      <c r="Q294" s="31">
        <v>270</v>
      </c>
      <c r="R294" s="31">
        <f t="shared" si="10"/>
        <v>340</v>
      </c>
      <c r="S294" s="31">
        <v>410</v>
      </c>
    </row>
    <row r="295" spans="1:19" ht="9" customHeight="1" x14ac:dyDescent="0.25">
      <c r="A295" s="5">
        <v>450919</v>
      </c>
      <c r="B295" s="6" t="s">
        <v>181</v>
      </c>
      <c r="C295" s="13" t="s">
        <v>8</v>
      </c>
      <c r="D295" s="13" t="s">
        <v>8</v>
      </c>
      <c r="E295" s="13" t="s">
        <v>8</v>
      </c>
      <c r="F295" s="13" t="s">
        <v>8</v>
      </c>
      <c r="G295" s="13" t="s">
        <v>8</v>
      </c>
      <c r="H295" s="13" t="s">
        <v>8</v>
      </c>
      <c r="I295" s="13" t="s">
        <v>8</v>
      </c>
      <c r="J295" s="13" t="s">
        <v>8</v>
      </c>
      <c r="K295" s="7"/>
      <c r="L295" s="13" t="s">
        <v>8</v>
      </c>
      <c r="M295" s="13" t="s">
        <v>8</v>
      </c>
      <c r="N295" s="7"/>
      <c r="O295" s="7"/>
      <c r="P295" s="7"/>
      <c r="Q295" s="30">
        <v>270</v>
      </c>
      <c r="R295" s="30">
        <f t="shared" si="10"/>
        <v>340</v>
      </c>
      <c r="S295" s="30">
        <v>410</v>
      </c>
    </row>
    <row r="296" spans="1:19" ht="9" customHeight="1" x14ac:dyDescent="0.25">
      <c r="A296" s="15">
        <v>450365</v>
      </c>
      <c r="B296" s="9" t="s">
        <v>111</v>
      </c>
      <c r="C296" s="12" t="s">
        <v>8</v>
      </c>
      <c r="D296" s="12" t="s">
        <v>8</v>
      </c>
      <c r="E296" s="12" t="s">
        <v>8</v>
      </c>
      <c r="F296" s="12" t="s">
        <v>8</v>
      </c>
      <c r="G296" s="12" t="s">
        <v>8</v>
      </c>
      <c r="H296" s="12" t="s">
        <v>8</v>
      </c>
      <c r="I296" s="12" t="s">
        <v>8</v>
      </c>
      <c r="J296" s="12" t="s">
        <v>8</v>
      </c>
      <c r="K296" s="12" t="s">
        <v>8</v>
      </c>
      <c r="L296" s="12" t="s">
        <v>8</v>
      </c>
      <c r="M296" s="12" t="s">
        <v>8</v>
      </c>
      <c r="N296" s="3"/>
      <c r="O296" s="3"/>
      <c r="P296" s="3"/>
      <c r="Q296" s="31">
        <v>105</v>
      </c>
      <c r="R296" s="31">
        <f t="shared" si="10"/>
        <v>130</v>
      </c>
      <c r="S296" s="31">
        <v>155</v>
      </c>
    </row>
    <row r="297" spans="1:19" ht="9" customHeight="1" x14ac:dyDescent="0.25">
      <c r="A297" s="14">
        <v>450732</v>
      </c>
      <c r="B297" s="6" t="s">
        <v>112</v>
      </c>
      <c r="C297" s="13" t="s">
        <v>8</v>
      </c>
      <c r="D297" s="13" t="s">
        <v>8</v>
      </c>
      <c r="E297" s="13" t="s">
        <v>8</v>
      </c>
      <c r="F297" s="13" t="s">
        <v>8</v>
      </c>
      <c r="G297" s="13" t="s">
        <v>8</v>
      </c>
      <c r="H297" s="13" t="s">
        <v>8</v>
      </c>
      <c r="I297" s="13" t="s">
        <v>8</v>
      </c>
      <c r="J297" s="13" t="s">
        <v>8</v>
      </c>
      <c r="K297" s="7"/>
      <c r="L297" s="7"/>
      <c r="M297" s="7"/>
      <c r="N297" s="7"/>
      <c r="O297" s="7"/>
      <c r="P297" s="7"/>
      <c r="Q297" s="30">
        <v>330</v>
      </c>
      <c r="R297" s="30">
        <f t="shared" si="10"/>
        <v>417.5</v>
      </c>
      <c r="S297" s="30">
        <v>505</v>
      </c>
    </row>
    <row r="298" spans="1:19" ht="9" customHeight="1" x14ac:dyDescent="0.25">
      <c r="A298" s="8">
        <v>450850</v>
      </c>
      <c r="B298" s="9" t="s">
        <v>182</v>
      </c>
      <c r="C298" s="3"/>
      <c r="D298" s="3"/>
      <c r="E298" s="3"/>
      <c r="F298" s="12" t="s">
        <v>8</v>
      </c>
      <c r="G298" s="12" t="s">
        <v>8</v>
      </c>
      <c r="H298" s="12" t="s">
        <v>8</v>
      </c>
      <c r="I298" s="12" t="s">
        <v>8</v>
      </c>
      <c r="J298" s="12" t="s">
        <v>8</v>
      </c>
      <c r="K298" s="12" t="s">
        <v>8</v>
      </c>
      <c r="L298" s="12" t="s">
        <v>8</v>
      </c>
      <c r="M298" s="12" t="s">
        <v>8</v>
      </c>
      <c r="N298" s="3"/>
      <c r="O298" s="3"/>
      <c r="P298" s="3"/>
      <c r="Q298" s="31">
        <v>270</v>
      </c>
      <c r="R298" s="31">
        <f t="shared" si="10"/>
        <v>340</v>
      </c>
      <c r="S298" s="31">
        <v>410</v>
      </c>
    </row>
    <row r="299" spans="1:19" ht="9" customHeight="1" x14ac:dyDescent="0.25">
      <c r="A299" s="5">
        <v>450851</v>
      </c>
      <c r="B299" s="6" t="s">
        <v>183</v>
      </c>
      <c r="C299" s="13" t="s">
        <v>8</v>
      </c>
      <c r="D299" s="13" t="s">
        <v>8</v>
      </c>
      <c r="E299" s="13" t="s">
        <v>8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30">
        <v>270</v>
      </c>
      <c r="R299" s="30">
        <f t="shared" si="10"/>
        <v>340</v>
      </c>
      <c r="S299" s="30">
        <v>410</v>
      </c>
    </row>
    <row r="300" spans="1:19" ht="9" customHeight="1" x14ac:dyDescent="0.25">
      <c r="A300" s="8">
        <v>450276</v>
      </c>
      <c r="B300" s="9" t="s">
        <v>118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1">
        <v>190</v>
      </c>
      <c r="R300" s="31">
        <f t="shared" si="10"/>
        <v>237.5</v>
      </c>
      <c r="S300" s="31">
        <v>285</v>
      </c>
    </row>
    <row r="301" spans="1:19" ht="9" customHeight="1" x14ac:dyDescent="0.25">
      <c r="A301" s="5">
        <v>450883</v>
      </c>
      <c r="B301" s="6" t="s">
        <v>119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13" t="s">
        <v>8</v>
      </c>
      <c r="N301" s="7"/>
      <c r="O301" s="7"/>
      <c r="P301" s="7"/>
      <c r="Q301" s="30">
        <v>340</v>
      </c>
      <c r="R301" s="30">
        <f t="shared" si="10"/>
        <v>432.5</v>
      </c>
      <c r="S301" s="30">
        <v>525</v>
      </c>
    </row>
    <row r="302" spans="1:19" ht="8.5500000000000007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40"/>
      <c r="R302" s="40"/>
      <c r="S302" s="40"/>
    </row>
    <row r="303" spans="1:19" ht="9" customHeight="1" x14ac:dyDescent="0.25">
      <c r="A303" s="7"/>
      <c r="B303" s="16" t="s">
        <v>184</v>
      </c>
      <c r="C303" s="17" t="s">
        <v>121</v>
      </c>
      <c r="D303" s="18">
        <v>1.1000000000000001</v>
      </c>
      <c r="E303" s="18">
        <v>1.2</v>
      </c>
      <c r="F303" s="18">
        <v>1.3</v>
      </c>
      <c r="G303" s="17" t="s">
        <v>185</v>
      </c>
      <c r="H303" s="18">
        <v>1.4</v>
      </c>
      <c r="I303" s="7"/>
      <c r="J303" s="7"/>
      <c r="K303" s="7"/>
      <c r="L303" s="7"/>
      <c r="M303" s="7"/>
      <c r="N303" s="7"/>
      <c r="O303" s="7"/>
      <c r="P303" s="7"/>
      <c r="Q303" s="41"/>
      <c r="R303" s="41"/>
      <c r="S303" s="41"/>
    </row>
    <row r="304" spans="1:19" ht="9" customHeight="1" x14ac:dyDescent="0.25">
      <c r="A304" s="8">
        <v>450082</v>
      </c>
      <c r="B304" s="9" t="s">
        <v>123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1">
        <v>110</v>
      </c>
      <c r="R304" s="31">
        <f>((S304-Q304)/2)+Q304</f>
        <v>130</v>
      </c>
      <c r="S304" s="31">
        <v>150</v>
      </c>
    </row>
    <row r="305" spans="1:19" ht="8.5500000000000007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41"/>
      <c r="R305" s="41"/>
      <c r="S305" s="41"/>
    </row>
    <row r="306" spans="1:19" ht="9" customHeight="1" x14ac:dyDescent="0.25">
      <c r="A306" s="3"/>
      <c r="B306" s="4" t="s">
        <v>186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40"/>
      <c r="R306" s="40"/>
      <c r="S306" s="40"/>
    </row>
    <row r="307" spans="1:19" ht="9" customHeight="1" x14ac:dyDescent="0.25">
      <c r="A307" s="5">
        <v>450126</v>
      </c>
      <c r="B307" s="6" t="s">
        <v>68</v>
      </c>
      <c r="C307" s="13" t="s">
        <v>8</v>
      </c>
      <c r="D307" s="13" t="s">
        <v>8</v>
      </c>
      <c r="E307" s="13" t="s">
        <v>8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30">
        <v>545</v>
      </c>
      <c r="R307" s="30">
        <f>((S307-Q307)/2)+Q307</f>
        <v>650</v>
      </c>
      <c r="S307" s="30">
        <v>755</v>
      </c>
    </row>
    <row r="308" spans="1:19" ht="9" customHeight="1" x14ac:dyDescent="0.25">
      <c r="A308" s="8">
        <v>450108</v>
      </c>
      <c r="B308" s="9" t="s">
        <v>128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1">
        <v>1890</v>
      </c>
      <c r="R308" s="31">
        <f>((S308-Q308)/2)+Q308</f>
        <v>2199</v>
      </c>
      <c r="S308" s="31">
        <v>2508</v>
      </c>
    </row>
    <row r="309" spans="1:19" ht="9" customHeight="1" x14ac:dyDescent="0.25">
      <c r="A309" s="5">
        <v>450116</v>
      </c>
      <c r="B309" s="6" t="s">
        <v>187</v>
      </c>
      <c r="C309" s="7"/>
      <c r="D309" s="13" t="s">
        <v>8</v>
      </c>
      <c r="E309" s="13" t="s">
        <v>8</v>
      </c>
      <c r="F309" s="13" t="s">
        <v>8</v>
      </c>
      <c r="G309" s="13" t="s">
        <v>8</v>
      </c>
      <c r="H309" s="13" t="s">
        <v>8</v>
      </c>
      <c r="I309" s="7"/>
      <c r="J309" s="7"/>
      <c r="K309" s="7"/>
      <c r="L309" s="7"/>
      <c r="M309" s="7"/>
      <c r="N309" s="7"/>
      <c r="O309" s="7"/>
      <c r="P309" s="7"/>
      <c r="Q309" s="30">
        <v>1245</v>
      </c>
      <c r="R309" s="30">
        <f>((S309-Q309)/2)+Q309</f>
        <v>1475</v>
      </c>
      <c r="S309" s="30">
        <v>1705</v>
      </c>
    </row>
    <row r="310" spans="1:19" ht="9" customHeight="1" x14ac:dyDescent="0.25">
      <c r="A310" s="8">
        <v>450221</v>
      </c>
      <c r="B310" s="9" t="s">
        <v>130</v>
      </c>
      <c r="C310" s="3"/>
      <c r="D310" s="3"/>
      <c r="E310" s="3"/>
      <c r="F310" s="3"/>
      <c r="G310" s="12" t="s">
        <v>8</v>
      </c>
      <c r="H310" s="12" t="s">
        <v>8</v>
      </c>
      <c r="I310" s="3"/>
      <c r="J310" s="3"/>
      <c r="K310" s="3"/>
      <c r="L310" s="3"/>
      <c r="M310" s="3"/>
      <c r="N310" s="3"/>
      <c r="O310" s="3"/>
      <c r="P310" s="3"/>
      <c r="Q310" s="31">
        <v>1070</v>
      </c>
      <c r="R310" s="31">
        <f>((S310-Q310)/2)+Q310</f>
        <v>1270</v>
      </c>
      <c r="S310" s="31">
        <v>1470</v>
      </c>
    </row>
    <row r="311" spans="1:19" ht="9" customHeight="1" x14ac:dyDescent="0.25">
      <c r="A311" s="5">
        <v>450222</v>
      </c>
      <c r="B311" s="6" t="s">
        <v>131</v>
      </c>
      <c r="C311" s="13" t="s">
        <v>8</v>
      </c>
      <c r="D311" s="13" t="s">
        <v>8</v>
      </c>
      <c r="E311" s="13" t="s">
        <v>8</v>
      </c>
      <c r="F311" s="13" t="s">
        <v>8</v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30">
        <v>795</v>
      </c>
      <c r="R311" s="30">
        <f>((S311-Q311)/2)+Q311</f>
        <v>945</v>
      </c>
      <c r="S311" s="30">
        <v>1095</v>
      </c>
    </row>
    <row r="312" spans="1:19" ht="8.5500000000000007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40"/>
      <c r="R312" s="40"/>
      <c r="S312" s="40"/>
    </row>
    <row r="313" spans="1:19" ht="9" customHeight="1" x14ac:dyDescent="0.25">
      <c r="A313" s="7"/>
      <c r="B313" s="16" t="s">
        <v>188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41"/>
      <c r="R313" s="41"/>
      <c r="S313" s="41"/>
    </row>
    <row r="314" spans="1:19" ht="9" customHeight="1" x14ac:dyDescent="0.25">
      <c r="A314" s="8">
        <v>450083</v>
      </c>
      <c r="B314" s="9" t="s">
        <v>133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1">
        <v>380</v>
      </c>
      <c r="R314" s="31">
        <f>((S314-Q314)/2)+Q314</f>
        <v>450</v>
      </c>
      <c r="S314" s="31">
        <v>520</v>
      </c>
    </row>
    <row r="315" spans="1:19" ht="9" customHeight="1" x14ac:dyDescent="0.25">
      <c r="A315" s="5">
        <v>450084</v>
      </c>
      <c r="B315" s="6" t="s">
        <v>134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30">
        <v>380</v>
      </c>
      <c r="R315" s="30">
        <f>((S315-Q315)/2)+Q315</f>
        <v>450</v>
      </c>
      <c r="S315" s="30">
        <v>520</v>
      </c>
    </row>
    <row r="316" spans="1:19" ht="9" customHeight="1" x14ac:dyDescent="0.25">
      <c r="A316" s="8">
        <v>450124</v>
      </c>
      <c r="B316" s="9" t="s">
        <v>135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1">
        <v>480</v>
      </c>
      <c r="R316" s="31">
        <f>((S316-Q316)/2)+Q316</f>
        <v>562.5</v>
      </c>
      <c r="S316" s="31">
        <v>645</v>
      </c>
    </row>
    <row r="317" spans="1:19" ht="9" customHeight="1" x14ac:dyDescent="0.25">
      <c r="A317" s="5">
        <v>450001</v>
      </c>
      <c r="B317" s="6" t="s">
        <v>41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30">
        <v>990</v>
      </c>
      <c r="R317" s="30">
        <f>((S317-Q317)/2)+Q317</f>
        <v>1175</v>
      </c>
      <c r="S317" s="30">
        <v>1360</v>
      </c>
    </row>
    <row r="318" spans="1:19" ht="8.5500000000000007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40"/>
      <c r="R318" s="40"/>
      <c r="S318" s="40"/>
    </row>
    <row r="319" spans="1:19" ht="9" customHeight="1" x14ac:dyDescent="0.25">
      <c r="A319" s="7"/>
      <c r="B319" s="16" t="s">
        <v>189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41"/>
      <c r="R319" s="41"/>
      <c r="S319" s="41"/>
    </row>
    <row r="320" spans="1:19" ht="9" customHeight="1" x14ac:dyDescent="0.25">
      <c r="A320" s="8">
        <v>450298</v>
      </c>
      <c r="B320" s="9" t="s">
        <v>137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1">
        <v>2095</v>
      </c>
      <c r="R320" s="31">
        <f>((S320-Q320)/2)+Q320</f>
        <v>2487.5</v>
      </c>
      <c r="S320" s="31">
        <v>2880</v>
      </c>
    </row>
    <row r="321" spans="1:19" ht="9" customHeight="1" x14ac:dyDescent="0.25">
      <c r="A321" s="5">
        <v>450091</v>
      </c>
      <c r="B321" s="6" t="s">
        <v>138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30">
        <v>490</v>
      </c>
      <c r="R321" s="30">
        <f>((S321-Q321)/2)+Q321</f>
        <v>582.5</v>
      </c>
      <c r="S321" s="30">
        <v>675</v>
      </c>
    </row>
    <row r="322" spans="1:19" ht="8.5500000000000007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40"/>
      <c r="R322" s="40"/>
      <c r="S322" s="40"/>
    </row>
    <row r="323" spans="1:19" ht="9" customHeight="1" x14ac:dyDescent="0.25">
      <c r="A323" s="7"/>
      <c r="B323" s="16" t="s">
        <v>190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41"/>
      <c r="R323" s="41"/>
      <c r="S323" s="41"/>
    </row>
    <row r="324" spans="1:19" ht="9" customHeight="1" x14ac:dyDescent="0.25">
      <c r="A324" s="8">
        <v>450031</v>
      </c>
      <c r="B324" s="9" t="s">
        <v>191</v>
      </c>
      <c r="C324" s="3"/>
      <c r="D324" s="12" t="s">
        <v>8</v>
      </c>
      <c r="E324" s="12" t="s">
        <v>8</v>
      </c>
      <c r="F324" s="12" t="s">
        <v>8</v>
      </c>
      <c r="G324" s="12" t="s">
        <v>8</v>
      </c>
      <c r="H324" s="12" t="s">
        <v>8</v>
      </c>
      <c r="I324" s="3"/>
      <c r="J324" s="3"/>
      <c r="K324" s="3"/>
      <c r="L324" s="3"/>
      <c r="M324" s="3"/>
      <c r="N324" s="3"/>
      <c r="O324" s="3"/>
      <c r="P324" s="3"/>
      <c r="Q324" s="31">
        <v>1735</v>
      </c>
      <c r="R324" s="31">
        <f>((S324-Q324)/2)+Q324</f>
        <v>2052.5</v>
      </c>
      <c r="S324" s="31">
        <v>2370</v>
      </c>
    </row>
    <row r="325" spans="1:19" ht="9" customHeight="1" x14ac:dyDescent="0.25">
      <c r="A325" s="5">
        <v>450112</v>
      </c>
      <c r="B325" s="6" t="s">
        <v>191</v>
      </c>
      <c r="C325" s="13" t="s">
        <v>8</v>
      </c>
      <c r="D325" s="7"/>
      <c r="E325" s="7"/>
      <c r="F325" s="7"/>
      <c r="G325" s="7"/>
      <c r="H325" s="13" t="s">
        <v>8</v>
      </c>
      <c r="I325" s="7"/>
      <c r="J325" s="7"/>
      <c r="K325" s="7"/>
      <c r="L325" s="7"/>
      <c r="M325" s="7"/>
      <c r="N325" s="7"/>
      <c r="O325" s="7"/>
      <c r="P325" s="7"/>
      <c r="Q325" s="30">
        <v>1735</v>
      </c>
      <c r="R325" s="30">
        <f>((S325-Q325)/2)+Q325</f>
        <v>2052.5</v>
      </c>
      <c r="S325" s="30">
        <v>2370</v>
      </c>
    </row>
    <row r="326" spans="1:19" ht="9" customHeight="1" x14ac:dyDescent="0.25">
      <c r="A326" s="8">
        <v>450234</v>
      </c>
      <c r="B326" s="9" t="s">
        <v>191</v>
      </c>
      <c r="C326" s="12" t="s">
        <v>8</v>
      </c>
      <c r="D326" s="12" t="s">
        <v>8</v>
      </c>
      <c r="E326" s="12" t="s">
        <v>8</v>
      </c>
      <c r="F326" s="12" t="s">
        <v>8</v>
      </c>
      <c r="G326" s="12" t="s">
        <v>8</v>
      </c>
      <c r="H326" s="3"/>
      <c r="I326" s="3"/>
      <c r="J326" s="3"/>
      <c r="K326" s="3"/>
      <c r="L326" s="3"/>
      <c r="M326" s="3"/>
      <c r="N326" s="3"/>
      <c r="O326" s="3"/>
      <c r="P326" s="3"/>
      <c r="Q326" s="31">
        <v>1155</v>
      </c>
      <c r="R326" s="31">
        <f>((S326-Q326)/2)+Q326</f>
        <v>1370</v>
      </c>
      <c r="S326" s="31">
        <v>1585</v>
      </c>
    </row>
    <row r="327" spans="1:19" ht="9" customHeight="1" x14ac:dyDescent="0.25">
      <c r="A327" s="5">
        <v>450129</v>
      </c>
      <c r="B327" s="6" t="s">
        <v>192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30">
        <v>555</v>
      </c>
      <c r="R327" s="30">
        <f>((S327-Q327)/2)+Q327</f>
        <v>657.5</v>
      </c>
      <c r="S327" s="30">
        <v>760</v>
      </c>
    </row>
    <row r="328" spans="1:19" ht="8.5500000000000007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40"/>
      <c r="R328" s="40"/>
      <c r="S328" s="40"/>
    </row>
    <row r="329" spans="1:19" ht="9" customHeight="1" x14ac:dyDescent="0.25">
      <c r="A329" s="7"/>
      <c r="B329" s="16" t="s">
        <v>193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41"/>
      <c r="R329" s="41"/>
      <c r="S329" s="41"/>
    </row>
    <row r="330" spans="1:19" ht="9" customHeight="1" x14ac:dyDescent="0.25">
      <c r="A330" s="8">
        <v>450080</v>
      </c>
      <c r="B330" s="9" t="s">
        <v>143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1">
        <v>305</v>
      </c>
      <c r="R330" s="31">
        <f t="shared" ref="R330:R340" si="11">((S330-Q330)/2)+Q330</f>
        <v>362.5</v>
      </c>
      <c r="S330" s="31">
        <v>420</v>
      </c>
    </row>
    <row r="331" spans="1:19" ht="9" customHeight="1" x14ac:dyDescent="0.25">
      <c r="A331" s="5">
        <v>450145</v>
      </c>
      <c r="B331" s="6" t="s">
        <v>144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30">
        <v>990</v>
      </c>
      <c r="R331" s="30">
        <f t="shared" si="11"/>
        <v>1175</v>
      </c>
      <c r="S331" s="30">
        <v>1360</v>
      </c>
    </row>
    <row r="332" spans="1:19" ht="9" customHeight="1" x14ac:dyDescent="0.25">
      <c r="A332" s="8">
        <v>450203</v>
      </c>
      <c r="B332" s="9" t="s">
        <v>145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1">
        <v>1225</v>
      </c>
      <c r="R332" s="31">
        <f t="shared" si="11"/>
        <v>1445</v>
      </c>
      <c r="S332" s="31">
        <v>1665</v>
      </c>
    </row>
    <row r="333" spans="1:19" ht="9" customHeight="1" x14ac:dyDescent="0.25">
      <c r="A333" s="5">
        <v>450137</v>
      </c>
      <c r="B333" s="6" t="s">
        <v>126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30">
        <v>365</v>
      </c>
      <c r="R333" s="30">
        <f t="shared" si="11"/>
        <v>432.5</v>
      </c>
      <c r="S333" s="30">
        <v>500</v>
      </c>
    </row>
    <row r="334" spans="1:19" ht="9" customHeight="1" x14ac:dyDescent="0.25">
      <c r="A334" s="8">
        <v>450303</v>
      </c>
      <c r="B334" s="9" t="s">
        <v>146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1">
        <v>75</v>
      </c>
      <c r="R334" s="31">
        <f t="shared" si="11"/>
        <v>92.5</v>
      </c>
      <c r="S334" s="31">
        <v>110</v>
      </c>
    </row>
    <row r="335" spans="1:19" ht="9" customHeight="1" x14ac:dyDescent="0.25">
      <c r="A335" s="5">
        <v>450499</v>
      </c>
      <c r="B335" s="6" t="s">
        <v>147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61"/>
      <c r="P335" s="62"/>
      <c r="Q335" s="30">
        <v>1110</v>
      </c>
      <c r="R335" s="30">
        <f t="shared" si="11"/>
        <v>1317.5</v>
      </c>
      <c r="S335" s="30">
        <v>1525</v>
      </c>
    </row>
    <row r="336" spans="1:19" ht="18" customHeight="1" x14ac:dyDescent="0.25">
      <c r="A336" s="8">
        <v>450123</v>
      </c>
      <c r="B336" s="20" t="s">
        <v>148</v>
      </c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43">
        <v>645</v>
      </c>
      <c r="R336" s="43">
        <f t="shared" si="11"/>
        <v>767.5</v>
      </c>
      <c r="S336" s="43">
        <v>890</v>
      </c>
    </row>
    <row r="337" spans="1:19" ht="9" customHeight="1" x14ac:dyDescent="0.25">
      <c r="A337" s="5">
        <v>450246</v>
      </c>
      <c r="B337" s="6" t="s">
        <v>149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30">
        <v>105</v>
      </c>
      <c r="R337" s="30">
        <f t="shared" si="11"/>
        <v>120</v>
      </c>
      <c r="S337" s="30">
        <v>135</v>
      </c>
    </row>
    <row r="338" spans="1:19" ht="9" customHeight="1" x14ac:dyDescent="0.25">
      <c r="A338" s="8">
        <v>450302</v>
      </c>
      <c r="B338" s="9" t="s">
        <v>150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1">
        <v>45</v>
      </c>
      <c r="R338" s="31">
        <f t="shared" si="11"/>
        <v>50</v>
      </c>
      <c r="S338" s="31">
        <v>55</v>
      </c>
    </row>
    <row r="339" spans="1:19" ht="9" customHeight="1" x14ac:dyDescent="0.25">
      <c r="A339" s="5">
        <v>450568</v>
      </c>
      <c r="B339" s="6" t="s">
        <v>151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30">
        <v>250</v>
      </c>
      <c r="R339" s="30">
        <f t="shared" si="11"/>
        <v>300</v>
      </c>
      <c r="S339" s="30">
        <v>350</v>
      </c>
    </row>
    <row r="340" spans="1:19" ht="9" customHeight="1" x14ac:dyDescent="0.25">
      <c r="A340" s="8">
        <v>450700</v>
      </c>
      <c r="B340" s="9" t="s">
        <v>152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1">
        <v>4790</v>
      </c>
      <c r="R340" s="31">
        <f t="shared" si="11"/>
        <v>6070</v>
      </c>
      <c r="S340" s="31">
        <v>7350</v>
      </c>
    </row>
    <row r="341" spans="1:19" ht="8.5500000000000007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41"/>
      <c r="R341" s="41"/>
      <c r="S341" s="41"/>
    </row>
    <row r="342" spans="1:19" ht="9" customHeight="1" x14ac:dyDescent="0.25">
      <c r="A342" s="3"/>
      <c r="B342" s="4" t="s">
        <v>194</v>
      </c>
      <c r="C342" s="10" t="s">
        <v>121</v>
      </c>
      <c r="D342" s="10" t="s">
        <v>195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40"/>
      <c r="R342" s="40"/>
      <c r="S342" s="40"/>
    </row>
    <row r="343" spans="1:19" ht="9" customHeight="1" x14ac:dyDescent="0.25">
      <c r="A343" s="5">
        <v>450313</v>
      </c>
      <c r="B343" s="6" t="s">
        <v>196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30">
        <v>55</v>
      </c>
      <c r="R343" s="30">
        <f t="shared" ref="R343:R354" si="12">((S343-Q343)/2)+Q343</f>
        <v>65</v>
      </c>
      <c r="S343" s="30">
        <v>75</v>
      </c>
    </row>
    <row r="344" spans="1:19" ht="9" customHeight="1" x14ac:dyDescent="0.25">
      <c r="A344" s="8">
        <v>450315</v>
      </c>
      <c r="B344" s="9" t="s">
        <v>197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1">
        <v>2260</v>
      </c>
      <c r="R344" s="31">
        <f t="shared" si="12"/>
        <v>2677.5</v>
      </c>
      <c r="S344" s="31">
        <v>3095</v>
      </c>
    </row>
    <row r="345" spans="1:19" ht="9" customHeight="1" x14ac:dyDescent="0.25">
      <c r="A345" s="5">
        <v>450316</v>
      </c>
      <c r="B345" s="6" t="s">
        <v>198</v>
      </c>
      <c r="C345" s="7"/>
      <c r="D345" s="13" t="s">
        <v>8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30">
        <v>2655</v>
      </c>
      <c r="R345" s="30">
        <f t="shared" si="12"/>
        <v>3147.5</v>
      </c>
      <c r="S345" s="30">
        <v>3640</v>
      </c>
    </row>
    <row r="346" spans="1:19" ht="9" customHeight="1" x14ac:dyDescent="0.25">
      <c r="A346" s="8">
        <v>450318</v>
      </c>
      <c r="B346" s="9" t="s">
        <v>199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1">
        <v>55</v>
      </c>
      <c r="R346" s="31">
        <f t="shared" si="12"/>
        <v>65</v>
      </c>
      <c r="S346" s="31">
        <v>75</v>
      </c>
    </row>
    <row r="347" spans="1:19" ht="9" customHeight="1" x14ac:dyDescent="0.25">
      <c r="A347" s="5">
        <v>450319</v>
      </c>
      <c r="B347" s="6" t="s">
        <v>200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30">
        <v>70</v>
      </c>
      <c r="R347" s="30">
        <f t="shared" si="12"/>
        <v>82.5</v>
      </c>
      <c r="S347" s="30">
        <v>95</v>
      </c>
    </row>
    <row r="348" spans="1:19" ht="9" customHeight="1" x14ac:dyDescent="0.25">
      <c r="A348" s="8">
        <v>450320</v>
      </c>
      <c r="B348" s="9" t="s">
        <v>201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1">
        <v>30</v>
      </c>
      <c r="R348" s="31">
        <f t="shared" si="12"/>
        <v>37.5</v>
      </c>
      <c r="S348" s="31">
        <v>45</v>
      </c>
    </row>
    <row r="349" spans="1:19" ht="9" customHeight="1" x14ac:dyDescent="0.25">
      <c r="A349" s="5">
        <v>450323</v>
      </c>
      <c r="B349" s="6" t="s">
        <v>202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30">
        <v>4830</v>
      </c>
      <c r="R349" s="30">
        <f t="shared" si="12"/>
        <v>5735</v>
      </c>
      <c r="S349" s="30">
        <v>6640</v>
      </c>
    </row>
    <row r="350" spans="1:19" ht="9" customHeight="1" x14ac:dyDescent="0.25">
      <c r="A350" s="15">
        <v>450322</v>
      </c>
      <c r="B350" s="9" t="s">
        <v>203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1">
        <v>430</v>
      </c>
      <c r="R350" s="31">
        <f t="shared" si="12"/>
        <v>507.5</v>
      </c>
      <c r="S350" s="31">
        <v>585</v>
      </c>
    </row>
    <row r="351" spans="1:19" ht="9" customHeight="1" x14ac:dyDescent="0.25">
      <c r="A351" s="14">
        <v>450326</v>
      </c>
      <c r="B351" s="6" t="s">
        <v>204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30">
        <v>1230</v>
      </c>
      <c r="R351" s="30">
        <f t="shared" si="12"/>
        <v>1462.5</v>
      </c>
      <c r="S351" s="30">
        <v>1695</v>
      </c>
    </row>
    <row r="352" spans="1:19" ht="9" customHeight="1" x14ac:dyDescent="0.25">
      <c r="A352" s="8">
        <v>450327</v>
      </c>
      <c r="B352" s="9" t="s">
        <v>205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1">
        <v>1230</v>
      </c>
      <c r="R352" s="31">
        <f t="shared" si="12"/>
        <v>1462.5</v>
      </c>
      <c r="S352" s="31">
        <v>1695</v>
      </c>
    </row>
    <row r="353" spans="1:19" ht="9" customHeight="1" x14ac:dyDescent="0.25">
      <c r="A353" s="5">
        <v>450511</v>
      </c>
      <c r="B353" s="6" t="s">
        <v>206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30">
        <v>25</v>
      </c>
      <c r="R353" s="30">
        <f t="shared" si="12"/>
        <v>27.5</v>
      </c>
      <c r="S353" s="30">
        <v>30</v>
      </c>
    </row>
    <row r="354" spans="1:19" ht="9" customHeight="1" x14ac:dyDescent="0.25">
      <c r="A354" s="8">
        <v>450694</v>
      </c>
      <c r="B354" s="9" t="s">
        <v>207</v>
      </c>
      <c r="C354" s="12" t="s">
        <v>8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1">
        <v>2655</v>
      </c>
      <c r="R354" s="31">
        <f t="shared" si="12"/>
        <v>3115</v>
      </c>
      <c r="S354" s="31">
        <v>3575</v>
      </c>
    </row>
    <row r="355" spans="1:19" ht="8.5500000000000007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41"/>
      <c r="R355" s="41"/>
      <c r="S355" s="41"/>
    </row>
    <row r="356" spans="1:19" ht="9" customHeight="1" x14ac:dyDescent="0.25">
      <c r="A356" s="3"/>
      <c r="B356" s="4" t="s">
        <v>208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40"/>
      <c r="R356" s="40"/>
      <c r="S356" s="40"/>
    </row>
    <row r="357" spans="1:19" ht="9" customHeight="1" x14ac:dyDescent="0.25">
      <c r="A357" s="5">
        <v>450310</v>
      </c>
      <c r="B357" s="6" t="s">
        <v>209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30">
        <v>330</v>
      </c>
      <c r="R357" s="30">
        <f t="shared" ref="R357:R363" si="13">((S357-Q357)/2)+Q357</f>
        <v>395</v>
      </c>
      <c r="S357" s="30">
        <v>460</v>
      </c>
    </row>
    <row r="358" spans="1:19" ht="9" customHeight="1" x14ac:dyDescent="0.25">
      <c r="A358" s="8">
        <v>450491</v>
      </c>
      <c r="B358" s="9" t="s">
        <v>210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1">
        <v>595</v>
      </c>
      <c r="R358" s="31">
        <f t="shared" si="13"/>
        <v>702.5</v>
      </c>
      <c r="S358" s="31">
        <v>810</v>
      </c>
    </row>
    <row r="359" spans="1:19" ht="9" customHeight="1" x14ac:dyDescent="0.25">
      <c r="A359" s="5">
        <v>450853</v>
      </c>
      <c r="B359" s="6" t="s">
        <v>211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30">
        <v>275</v>
      </c>
      <c r="R359" s="30">
        <f t="shared" si="13"/>
        <v>307.5</v>
      </c>
      <c r="S359" s="30">
        <v>340</v>
      </c>
    </row>
    <row r="360" spans="1:19" ht="9" customHeight="1" x14ac:dyDescent="0.25">
      <c r="A360" s="15">
        <v>450346</v>
      </c>
      <c r="B360" s="9" t="s">
        <v>212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1">
        <v>3290</v>
      </c>
      <c r="R360" s="31">
        <f t="shared" si="13"/>
        <v>3905</v>
      </c>
      <c r="S360" s="31">
        <v>4520</v>
      </c>
    </row>
    <row r="361" spans="1:19" ht="9" customHeight="1" x14ac:dyDescent="0.25">
      <c r="A361" s="5">
        <v>450312</v>
      </c>
      <c r="B361" s="6" t="s">
        <v>213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30">
        <v>3290</v>
      </c>
      <c r="R361" s="30">
        <f t="shared" si="13"/>
        <v>3905</v>
      </c>
      <c r="S361" s="30">
        <v>4520</v>
      </c>
    </row>
    <row r="362" spans="1:19" ht="9" customHeight="1" x14ac:dyDescent="0.25">
      <c r="A362" s="8">
        <v>450497</v>
      </c>
      <c r="B362" s="9" t="s">
        <v>214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1">
        <v>3675</v>
      </c>
      <c r="R362" s="31">
        <f t="shared" si="13"/>
        <v>4365</v>
      </c>
      <c r="S362" s="31">
        <v>5055</v>
      </c>
    </row>
    <row r="363" spans="1:19" ht="9" customHeight="1" x14ac:dyDescent="0.25">
      <c r="A363" s="5">
        <v>450496</v>
      </c>
      <c r="B363" s="6" t="s">
        <v>215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30">
        <v>3655</v>
      </c>
      <c r="R363" s="30">
        <f t="shared" si="13"/>
        <v>4335</v>
      </c>
      <c r="S363" s="30">
        <v>5015</v>
      </c>
    </row>
    <row r="364" spans="1:19" ht="8.5500000000000007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40"/>
      <c r="R364" s="40"/>
      <c r="S364" s="40"/>
    </row>
    <row r="365" spans="1:19" ht="9" customHeight="1" x14ac:dyDescent="0.25">
      <c r="A365" s="7"/>
      <c r="B365" s="16" t="s">
        <v>216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41"/>
      <c r="R365" s="41"/>
      <c r="S365" s="41"/>
    </row>
    <row r="366" spans="1:19" ht="9" customHeight="1" x14ac:dyDescent="0.25">
      <c r="A366" s="8">
        <v>450377</v>
      </c>
      <c r="B366" s="9" t="s">
        <v>217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1">
        <v>1090</v>
      </c>
      <c r="R366" s="31">
        <f>((S366-Q366)/2)+Q366</f>
        <v>1295</v>
      </c>
      <c r="S366" s="31">
        <v>1500</v>
      </c>
    </row>
    <row r="367" spans="1:19" ht="9" customHeight="1" x14ac:dyDescent="0.25">
      <c r="A367" s="5">
        <v>450702</v>
      </c>
      <c r="B367" s="6" t="s">
        <v>218</v>
      </c>
      <c r="C367" s="13" t="s">
        <v>8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30">
        <v>2370</v>
      </c>
      <c r="R367" s="30">
        <f>((S367-Q367)/2)+Q367</f>
        <v>2780</v>
      </c>
      <c r="S367" s="30">
        <v>3190</v>
      </c>
    </row>
    <row r="368" spans="1:19" ht="9" customHeight="1" x14ac:dyDescent="0.25">
      <c r="A368" s="8">
        <v>450727</v>
      </c>
      <c r="B368" s="9" t="s">
        <v>219</v>
      </c>
      <c r="C368" s="12" t="s">
        <v>8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1">
        <v>595</v>
      </c>
      <c r="R368" s="31">
        <f>((S368-Q368)/2)+Q368</f>
        <v>755</v>
      </c>
      <c r="S368" s="31">
        <v>915</v>
      </c>
    </row>
    <row r="369" spans="1:19" ht="8.5500000000000007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41"/>
      <c r="R369" s="41"/>
      <c r="S369" s="41"/>
    </row>
    <row r="370" spans="1:19" ht="9" customHeight="1" x14ac:dyDescent="0.25">
      <c r="A370" s="3"/>
      <c r="B370" s="4" t="s">
        <v>220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40"/>
      <c r="R370" s="40"/>
      <c r="S370" s="40"/>
    </row>
    <row r="371" spans="1:19" ht="9" customHeight="1" x14ac:dyDescent="0.25">
      <c r="A371" s="5">
        <v>450295</v>
      </c>
      <c r="B371" s="6" t="s">
        <v>50</v>
      </c>
      <c r="C371" s="7"/>
      <c r="D371" s="13" t="s">
        <v>8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30">
        <v>3085</v>
      </c>
      <c r="R371" s="30">
        <f>((S371-Q371)/2)+Q371</f>
        <v>3657.5</v>
      </c>
      <c r="S371" s="30">
        <v>4230</v>
      </c>
    </row>
    <row r="372" spans="1:19" ht="9" customHeight="1" x14ac:dyDescent="0.25">
      <c r="A372" s="8">
        <v>450707</v>
      </c>
      <c r="B372" s="9" t="s">
        <v>221</v>
      </c>
      <c r="C372" s="12" t="s">
        <v>8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1">
        <v>1600</v>
      </c>
      <c r="R372" s="31">
        <f>((S372-Q372)/2)+Q372</f>
        <v>1877.5</v>
      </c>
      <c r="S372" s="31">
        <v>2155</v>
      </c>
    </row>
    <row r="373" spans="1:19" ht="8.5500000000000007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41"/>
      <c r="R373" s="41"/>
      <c r="S373" s="41"/>
    </row>
    <row r="374" spans="1:19" ht="9" customHeight="1" x14ac:dyDescent="0.25">
      <c r="A374" s="3"/>
      <c r="B374" s="4" t="s">
        <v>222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40"/>
      <c r="R374" s="40"/>
      <c r="S374" s="40"/>
    </row>
    <row r="375" spans="1:19" ht="9" customHeight="1" x14ac:dyDescent="0.25">
      <c r="A375" s="5">
        <v>450341</v>
      </c>
      <c r="B375" s="6" t="s">
        <v>223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30">
        <v>685</v>
      </c>
      <c r="R375" s="30">
        <f t="shared" ref="R375:R390" si="14">((S375-Q375)/2)+Q375</f>
        <v>817.5</v>
      </c>
      <c r="S375" s="30">
        <v>950</v>
      </c>
    </row>
    <row r="376" spans="1:19" ht="9" customHeight="1" x14ac:dyDescent="0.25">
      <c r="A376" s="8">
        <v>450342</v>
      </c>
      <c r="B376" s="9" t="s">
        <v>224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1">
        <v>640</v>
      </c>
      <c r="R376" s="31">
        <f t="shared" si="14"/>
        <v>760</v>
      </c>
      <c r="S376" s="31">
        <v>880</v>
      </c>
    </row>
    <row r="377" spans="1:19" ht="9" customHeight="1" x14ac:dyDescent="0.25">
      <c r="A377" s="5">
        <v>450343</v>
      </c>
      <c r="B377" s="6" t="s">
        <v>225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30">
        <v>640</v>
      </c>
      <c r="R377" s="30">
        <f t="shared" si="14"/>
        <v>757.5</v>
      </c>
      <c r="S377" s="30">
        <v>875</v>
      </c>
    </row>
    <row r="378" spans="1:19" ht="9" customHeight="1" x14ac:dyDescent="0.25">
      <c r="A378" s="8">
        <v>450307</v>
      </c>
      <c r="B378" s="9" t="s">
        <v>226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1">
        <v>380</v>
      </c>
      <c r="R378" s="31">
        <f t="shared" si="14"/>
        <v>450</v>
      </c>
      <c r="S378" s="31">
        <v>520</v>
      </c>
    </row>
    <row r="379" spans="1:19" ht="9" customHeight="1" x14ac:dyDescent="0.25">
      <c r="A379" s="5">
        <v>450308</v>
      </c>
      <c r="B379" s="6" t="s">
        <v>227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30">
        <v>90</v>
      </c>
      <c r="R379" s="30">
        <f t="shared" si="14"/>
        <v>102.5</v>
      </c>
      <c r="S379" s="30">
        <v>115</v>
      </c>
    </row>
    <row r="380" spans="1:19" ht="9" customHeight="1" x14ac:dyDescent="0.25">
      <c r="A380" s="8">
        <v>450309</v>
      </c>
      <c r="B380" s="9" t="s">
        <v>228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1">
        <v>90</v>
      </c>
      <c r="R380" s="31">
        <f t="shared" si="14"/>
        <v>110</v>
      </c>
      <c r="S380" s="31">
        <v>130</v>
      </c>
    </row>
    <row r="381" spans="1:19" ht="9" customHeight="1" x14ac:dyDescent="0.25">
      <c r="A381" s="5">
        <v>450328</v>
      </c>
      <c r="B381" s="6" t="s">
        <v>229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30">
        <v>850</v>
      </c>
      <c r="R381" s="30">
        <f t="shared" si="14"/>
        <v>1007.5</v>
      </c>
      <c r="S381" s="30">
        <v>1165</v>
      </c>
    </row>
    <row r="382" spans="1:19" ht="9" customHeight="1" x14ac:dyDescent="0.25">
      <c r="A382" s="8">
        <v>450490</v>
      </c>
      <c r="B382" s="9" t="s">
        <v>230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1">
        <v>15</v>
      </c>
      <c r="R382" s="31">
        <f t="shared" si="14"/>
        <v>20</v>
      </c>
      <c r="S382" s="31">
        <v>25</v>
      </c>
    </row>
    <row r="383" spans="1:19" ht="9" customHeight="1" x14ac:dyDescent="0.25">
      <c r="A383" s="5">
        <v>450661</v>
      </c>
      <c r="B383" s="6" t="s">
        <v>231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30">
        <v>55</v>
      </c>
      <c r="R383" s="30">
        <f t="shared" si="14"/>
        <v>65</v>
      </c>
      <c r="S383" s="30">
        <v>75</v>
      </c>
    </row>
    <row r="384" spans="1:19" ht="9" customHeight="1" x14ac:dyDescent="0.25">
      <c r="A384" s="8">
        <v>450680</v>
      </c>
      <c r="B384" s="9" t="s">
        <v>232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1">
        <v>35</v>
      </c>
      <c r="R384" s="31">
        <f t="shared" si="14"/>
        <v>40</v>
      </c>
      <c r="S384" s="31">
        <v>45</v>
      </c>
    </row>
    <row r="385" spans="1:19" ht="9" customHeight="1" x14ac:dyDescent="0.25">
      <c r="A385" s="5">
        <v>450682</v>
      </c>
      <c r="B385" s="6" t="s">
        <v>233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30">
        <v>50</v>
      </c>
      <c r="R385" s="30">
        <f t="shared" si="14"/>
        <v>60</v>
      </c>
      <c r="S385" s="30">
        <v>70</v>
      </c>
    </row>
    <row r="386" spans="1:19" ht="9" customHeight="1" x14ac:dyDescent="0.25">
      <c r="A386" s="8">
        <v>450691</v>
      </c>
      <c r="B386" s="9" t="s">
        <v>234</v>
      </c>
      <c r="C386" s="12" t="s">
        <v>8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1">
        <v>695</v>
      </c>
      <c r="R386" s="31">
        <f t="shared" si="14"/>
        <v>817.5</v>
      </c>
      <c r="S386" s="31">
        <v>940</v>
      </c>
    </row>
    <row r="387" spans="1:19" ht="9" customHeight="1" x14ac:dyDescent="0.25">
      <c r="A387" s="5">
        <v>450321</v>
      </c>
      <c r="B387" s="6" t="s">
        <v>235</v>
      </c>
      <c r="C387" s="7"/>
      <c r="D387" s="13" t="s">
        <v>8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30">
        <v>695</v>
      </c>
      <c r="R387" s="30">
        <f t="shared" si="14"/>
        <v>822.5</v>
      </c>
      <c r="S387" s="30">
        <v>950</v>
      </c>
    </row>
    <row r="388" spans="1:19" ht="9" customHeight="1" x14ac:dyDescent="0.25">
      <c r="A388" s="8">
        <v>450715</v>
      </c>
      <c r="B388" s="9" t="s">
        <v>236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1">
        <v>35</v>
      </c>
      <c r="R388" s="31">
        <f t="shared" si="14"/>
        <v>42.5</v>
      </c>
      <c r="S388" s="31">
        <v>50</v>
      </c>
    </row>
    <row r="389" spans="1:19" ht="9" customHeight="1" x14ac:dyDescent="0.25">
      <c r="A389" s="5">
        <v>450731</v>
      </c>
      <c r="B389" s="6" t="s">
        <v>237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30">
        <v>190</v>
      </c>
      <c r="R389" s="30">
        <f t="shared" si="14"/>
        <v>240</v>
      </c>
      <c r="S389" s="30">
        <v>290</v>
      </c>
    </row>
    <row r="390" spans="1:19" ht="9" customHeight="1" x14ac:dyDescent="0.25">
      <c r="A390" s="8">
        <v>450603</v>
      </c>
      <c r="B390" s="9" t="s">
        <v>238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1">
        <v>305</v>
      </c>
      <c r="R390" s="31">
        <f t="shared" si="14"/>
        <v>385</v>
      </c>
      <c r="S390" s="31">
        <v>465</v>
      </c>
    </row>
    <row r="391" spans="1:19" ht="8.5500000000000007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41"/>
      <c r="R391" s="41"/>
      <c r="S391" s="41"/>
    </row>
    <row r="392" spans="1:19" ht="9" customHeight="1" x14ac:dyDescent="0.25">
      <c r="A392" s="3"/>
      <c r="B392" s="4" t="s">
        <v>239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40"/>
      <c r="R392" s="40"/>
      <c r="S392" s="40"/>
    </row>
    <row r="393" spans="1:19" ht="9" customHeight="1" x14ac:dyDescent="0.25">
      <c r="A393" s="14">
        <v>450614</v>
      </c>
      <c r="B393" s="6" t="s">
        <v>240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30">
        <v>270</v>
      </c>
      <c r="R393" s="30">
        <f>((S393-Q393)/2)+Q393</f>
        <v>320</v>
      </c>
      <c r="S393" s="30">
        <v>370</v>
      </c>
    </row>
    <row r="394" spans="1:19" ht="9" customHeight="1" x14ac:dyDescent="0.25">
      <c r="A394" s="8">
        <v>450314</v>
      </c>
      <c r="B394" s="9" t="s">
        <v>241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1">
        <v>545</v>
      </c>
      <c r="R394" s="31">
        <f>((S394-Q394)/2)+Q394</f>
        <v>645</v>
      </c>
      <c r="S394" s="31">
        <v>745</v>
      </c>
    </row>
    <row r="395" spans="1:19" ht="9" customHeight="1" x14ac:dyDescent="0.25">
      <c r="A395" s="5">
        <v>450324</v>
      </c>
      <c r="B395" s="6" t="s">
        <v>242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30">
        <v>3265</v>
      </c>
      <c r="R395" s="30">
        <f>((S395-Q395)/2)+Q395</f>
        <v>3872.5</v>
      </c>
      <c r="S395" s="30">
        <v>4480</v>
      </c>
    </row>
    <row r="396" spans="1:19" ht="9" customHeight="1" x14ac:dyDescent="0.25">
      <c r="A396" s="8">
        <v>450673</v>
      </c>
      <c r="B396" s="9" t="s">
        <v>243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1">
        <v>105</v>
      </c>
      <c r="R396" s="31">
        <f>((S396-Q396)/2)+Q396</f>
        <v>120</v>
      </c>
      <c r="S396" s="31">
        <v>135</v>
      </c>
    </row>
    <row r="397" spans="1:19" ht="9" customHeight="1" x14ac:dyDescent="0.25">
      <c r="A397" s="5">
        <v>450693</v>
      </c>
      <c r="B397" s="6" t="s">
        <v>244</v>
      </c>
      <c r="C397" s="13" t="s">
        <v>8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30">
        <v>135</v>
      </c>
      <c r="R397" s="30">
        <f>((S397-Q397)/2)+Q397</f>
        <v>175</v>
      </c>
      <c r="S397" s="30">
        <v>215</v>
      </c>
    </row>
    <row r="398" spans="1:19" ht="8.5500000000000007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40"/>
      <c r="R398" s="40"/>
      <c r="S398" s="40"/>
    </row>
    <row r="399" spans="1:19" ht="9" customHeight="1" x14ac:dyDescent="0.25">
      <c r="A399" s="7"/>
      <c r="B399" s="16" t="s">
        <v>245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41"/>
      <c r="R399" s="41"/>
      <c r="S399" s="41"/>
    </row>
    <row r="400" spans="1:19" ht="9" customHeight="1" x14ac:dyDescent="0.25">
      <c r="A400" s="8">
        <v>450160</v>
      </c>
      <c r="B400" s="9" t="s">
        <v>84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1">
        <v>360</v>
      </c>
      <c r="R400" s="31">
        <f t="shared" ref="R400:R423" si="15">((S400-Q400)/2)+Q400</f>
        <v>422.5</v>
      </c>
      <c r="S400" s="31">
        <v>485</v>
      </c>
    </row>
    <row r="401" spans="1:19" ht="9" customHeight="1" x14ac:dyDescent="0.25">
      <c r="A401" s="5">
        <v>450505</v>
      </c>
      <c r="B401" s="6" t="s">
        <v>246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30">
        <v>1405</v>
      </c>
      <c r="R401" s="30">
        <f t="shared" si="15"/>
        <v>1667.5</v>
      </c>
      <c r="S401" s="30">
        <v>1930</v>
      </c>
    </row>
    <row r="402" spans="1:19" ht="9" customHeight="1" x14ac:dyDescent="0.25">
      <c r="A402" s="8">
        <v>450495</v>
      </c>
      <c r="B402" s="9" t="s">
        <v>247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1">
        <v>15</v>
      </c>
      <c r="R402" s="31">
        <f t="shared" si="15"/>
        <v>22.5</v>
      </c>
      <c r="S402" s="31">
        <v>30</v>
      </c>
    </row>
    <row r="403" spans="1:19" ht="9" customHeight="1" x14ac:dyDescent="0.25">
      <c r="A403" s="5">
        <v>450517</v>
      </c>
      <c r="B403" s="6" t="s">
        <v>248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30">
        <v>50</v>
      </c>
      <c r="R403" s="30">
        <f t="shared" si="15"/>
        <v>60</v>
      </c>
      <c r="S403" s="30">
        <v>70</v>
      </c>
    </row>
    <row r="404" spans="1:19" ht="9" customHeight="1" x14ac:dyDescent="0.25">
      <c r="A404" s="8">
        <v>450528</v>
      </c>
      <c r="B404" s="9" t="s">
        <v>249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1">
        <v>50</v>
      </c>
      <c r="R404" s="31">
        <f t="shared" si="15"/>
        <v>60</v>
      </c>
      <c r="S404" s="31">
        <v>70</v>
      </c>
    </row>
    <row r="405" spans="1:19" ht="9" customHeight="1" x14ac:dyDescent="0.25">
      <c r="A405" s="5">
        <v>450527</v>
      </c>
      <c r="B405" s="6" t="s">
        <v>250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30">
        <v>110</v>
      </c>
      <c r="R405" s="30">
        <f t="shared" si="15"/>
        <v>127.5</v>
      </c>
      <c r="S405" s="30">
        <v>145</v>
      </c>
    </row>
    <row r="406" spans="1:19" ht="9" customHeight="1" x14ac:dyDescent="0.25">
      <c r="A406" s="8">
        <v>450744</v>
      </c>
      <c r="B406" s="9" t="s">
        <v>251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1">
        <v>2820</v>
      </c>
      <c r="R406" s="31">
        <f t="shared" si="15"/>
        <v>3327.5</v>
      </c>
      <c r="S406" s="31">
        <v>3835</v>
      </c>
    </row>
    <row r="407" spans="1:19" ht="9" customHeight="1" x14ac:dyDescent="0.25">
      <c r="A407" s="5">
        <v>450624</v>
      </c>
      <c r="B407" s="6" t="s">
        <v>97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30">
        <v>325</v>
      </c>
      <c r="R407" s="30">
        <f t="shared" si="15"/>
        <v>375</v>
      </c>
      <c r="S407" s="30">
        <v>425</v>
      </c>
    </row>
    <row r="408" spans="1:19" ht="9" customHeight="1" x14ac:dyDescent="0.25">
      <c r="A408" s="8">
        <v>450369</v>
      </c>
      <c r="B408" s="9" t="s">
        <v>252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1">
        <v>815</v>
      </c>
      <c r="R408" s="31">
        <f t="shared" si="15"/>
        <v>965</v>
      </c>
      <c r="S408" s="31">
        <v>1115</v>
      </c>
    </row>
    <row r="409" spans="1:19" ht="9" customHeight="1" x14ac:dyDescent="0.25">
      <c r="A409" s="5">
        <v>450605</v>
      </c>
      <c r="B409" s="6" t="s">
        <v>253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30">
        <v>105</v>
      </c>
      <c r="R409" s="30">
        <f t="shared" si="15"/>
        <v>125</v>
      </c>
      <c r="S409" s="30">
        <v>145</v>
      </c>
    </row>
    <row r="410" spans="1:19" ht="9" customHeight="1" x14ac:dyDescent="0.25">
      <c r="A410" s="8">
        <v>450651</v>
      </c>
      <c r="B410" s="9" t="s">
        <v>254</v>
      </c>
      <c r="C410" s="3"/>
      <c r="D410" s="12" t="s">
        <v>8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1">
        <v>1400</v>
      </c>
      <c r="R410" s="31">
        <f t="shared" si="15"/>
        <v>1657.5</v>
      </c>
      <c r="S410" s="31">
        <v>1915</v>
      </c>
    </row>
    <row r="411" spans="1:19" ht="9" customHeight="1" x14ac:dyDescent="0.25">
      <c r="A411" s="14">
        <v>450692</v>
      </c>
      <c r="B411" s="6" t="s">
        <v>255</v>
      </c>
      <c r="C411" s="13" t="s">
        <v>8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30">
        <v>1390</v>
      </c>
      <c r="R411" s="30">
        <f t="shared" si="15"/>
        <v>1635</v>
      </c>
      <c r="S411" s="30">
        <v>1880</v>
      </c>
    </row>
    <row r="412" spans="1:19" ht="9" customHeight="1" x14ac:dyDescent="0.25">
      <c r="A412" s="15">
        <v>450375</v>
      </c>
      <c r="B412" s="9" t="s">
        <v>256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1">
        <v>25</v>
      </c>
      <c r="R412" s="31">
        <f t="shared" si="15"/>
        <v>30</v>
      </c>
      <c r="S412" s="31">
        <v>35</v>
      </c>
    </row>
    <row r="413" spans="1:19" ht="9" customHeight="1" x14ac:dyDescent="0.25">
      <c r="A413" s="14">
        <v>450612</v>
      </c>
      <c r="B413" s="6" t="s">
        <v>101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30">
        <v>50</v>
      </c>
      <c r="R413" s="30">
        <f t="shared" si="15"/>
        <v>60</v>
      </c>
      <c r="S413" s="30">
        <v>70</v>
      </c>
    </row>
    <row r="414" spans="1:19" ht="9" customHeight="1" x14ac:dyDescent="0.25">
      <c r="A414" s="15">
        <v>450572</v>
      </c>
      <c r="B414" s="9" t="s">
        <v>257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1">
        <v>115</v>
      </c>
      <c r="R414" s="31">
        <f t="shared" si="15"/>
        <v>132.5</v>
      </c>
      <c r="S414" s="31">
        <v>150</v>
      </c>
    </row>
    <row r="415" spans="1:19" ht="9" customHeight="1" x14ac:dyDescent="0.25">
      <c r="A415" s="14">
        <v>450663</v>
      </c>
      <c r="B415" s="6" t="s">
        <v>105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30">
        <v>125</v>
      </c>
      <c r="R415" s="30">
        <f t="shared" si="15"/>
        <v>147.5</v>
      </c>
      <c r="S415" s="30">
        <v>170</v>
      </c>
    </row>
    <row r="416" spans="1:19" ht="9" customHeight="1" x14ac:dyDescent="0.25">
      <c r="A416" s="15">
        <v>450684</v>
      </c>
      <c r="B416" s="9" t="s">
        <v>258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1">
        <v>810</v>
      </c>
      <c r="R416" s="31">
        <f t="shared" si="15"/>
        <v>947.5</v>
      </c>
      <c r="S416" s="31">
        <v>1085</v>
      </c>
    </row>
    <row r="417" spans="1:19" ht="9" customHeight="1" x14ac:dyDescent="0.25">
      <c r="A417" s="14">
        <v>450689</v>
      </c>
      <c r="B417" s="6" t="s">
        <v>259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30">
        <v>35</v>
      </c>
      <c r="R417" s="30">
        <f t="shared" si="15"/>
        <v>40</v>
      </c>
      <c r="S417" s="30">
        <v>45</v>
      </c>
    </row>
    <row r="418" spans="1:19" ht="9" customHeight="1" x14ac:dyDescent="0.25">
      <c r="A418" s="8">
        <v>450711</v>
      </c>
      <c r="B418" s="9" t="s">
        <v>260</v>
      </c>
      <c r="C418" s="12" t="s">
        <v>8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1">
        <v>25</v>
      </c>
      <c r="R418" s="31">
        <f t="shared" si="15"/>
        <v>30</v>
      </c>
      <c r="S418" s="31">
        <v>35</v>
      </c>
    </row>
    <row r="419" spans="1:19" ht="9" customHeight="1" x14ac:dyDescent="0.25">
      <c r="A419" s="5">
        <v>450721</v>
      </c>
      <c r="B419" s="6" t="s">
        <v>261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30">
        <v>125</v>
      </c>
      <c r="R419" s="30">
        <f t="shared" si="15"/>
        <v>155</v>
      </c>
      <c r="S419" s="30">
        <v>185</v>
      </c>
    </row>
    <row r="420" spans="1:19" ht="9" customHeight="1" x14ac:dyDescent="0.25">
      <c r="A420" s="8">
        <v>450729</v>
      </c>
      <c r="B420" s="9" t="s">
        <v>262</v>
      </c>
      <c r="C420" s="12" t="s">
        <v>8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1">
        <v>15</v>
      </c>
      <c r="R420" s="31">
        <f t="shared" si="15"/>
        <v>22.5</v>
      </c>
      <c r="S420" s="31">
        <v>30</v>
      </c>
    </row>
    <row r="421" spans="1:19" ht="9" customHeight="1" x14ac:dyDescent="0.25">
      <c r="A421" s="5">
        <v>450742</v>
      </c>
      <c r="B421" s="6" t="s">
        <v>263</v>
      </c>
      <c r="C421" s="13" t="s">
        <v>8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30">
        <v>970</v>
      </c>
      <c r="R421" s="30">
        <f t="shared" si="15"/>
        <v>1225</v>
      </c>
      <c r="S421" s="30">
        <v>1480</v>
      </c>
    </row>
    <row r="422" spans="1:19" ht="9" customHeight="1" x14ac:dyDescent="0.25">
      <c r="A422" s="8">
        <v>450732</v>
      </c>
      <c r="B422" s="9" t="s">
        <v>112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1">
        <v>330</v>
      </c>
      <c r="R422" s="31">
        <f t="shared" si="15"/>
        <v>417.5</v>
      </c>
      <c r="S422" s="31">
        <v>505</v>
      </c>
    </row>
    <row r="423" spans="1:19" ht="9.75" customHeight="1" x14ac:dyDescent="0.25">
      <c r="A423" s="5">
        <v>450882</v>
      </c>
      <c r="B423" s="6" t="s">
        <v>264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30">
        <v>335</v>
      </c>
      <c r="R423" s="30">
        <f t="shared" si="15"/>
        <v>390</v>
      </c>
      <c r="S423" s="30">
        <v>445</v>
      </c>
    </row>
    <row r="424" spans="1:19" ht="8.5500000000000007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40"/>
      <c r="R424" s="40"/>
      <c r="S424" s="40"/>
    </row>
    <row r="425" spans="1:19" ht="9" customHeight="1" x14ac:dyDescent="0.25">
      <c r="A425" s="7"/>
      <c r="B425" s="16" t="s">
        <v>265</v>
      </c>
      <c r="C425" s="17" t="s">
        <v>121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41"/>
      <c r="R425" s="41"/>
      <c r="S425" s="41"/>
    </row>
    <row r="426" spans="1:19" ht="9" customHeight="1" x14ac:dyDescent="0.25">
      <c r="A426" s="8">
        <v>450525</v>
      </c>
      <c r="B426" s="9" t="s">
        <v>266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1">
        <v>280</v>
      </c>
      <c r="R426" s="31">
        <f>((S426-Q426)/2)+Q426</f>
        <v>332.5</v>
      </c>
      <c r="S426" s="31">
        <v>385</v>
      </c>
    </row>
    <row r="427" spans="1:19" ht="9" customHeight="1" x14ac:dyDescent="0.25">
      <c r="A427" s="5">
        <v>450640</v>
      </c>
      <c r="B427" s="6" t="s">
        <v>267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30">
        <v>1780</v>
      </c>
      <c r="R427" s="30">
        <f>((S427-Q427)/2)+Q427</f>
        <v>2112.5</v>
      </c>
      <c r="S427" s="30">
        <v>2445</v>
      </c>
    </row>
    <row r="428" spans="1:19" ht="9" customHeight="1" x14ac:dyDescent="0.25">
      <c r="A428" s="8">
        <v>450643</v>
      </c>
      <c r="B428" s="9" t="s">
        <v>268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1">
        <v>2245</v>
      </c>
      <c r="R428" s="31"/>
      <c r="S428" s="31">
        <v>3075</v>
      </c>
    </row>
    <row r="429" spans="1:19" ht="9" customHeight="1" x14ac:dyDescent="0.25">
      <c r="A429" s="5">
        <v>450641</v>
      </c>
      <c r="B429" s="6" t="s">
        <v>269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30">
        <v>2165</v>
      </c>
      <c r="R429" s="30">
        <f>((S429-Q429)/2)+Q429</f>
        <v>2570</v>
      </c>
      <c r="S429" s="30">
        <v>2975</v>
      </c>
    </row>
    <row r="430" spans="1:19" ht="9" customHeight="1" x14ac:dyDescent="0.25">
      <c r="A430" s="8">
        <v>450642</v>
      </c>
      <c r="B430" s="9" t="s">
        <v>270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1">
        <v>1525</v>
      </c>
      <c r="R430" s="31">
        <f>((S430-Q430)/2)+Q430</f>
        <v>1807.5</v>
      </c>
      <c r="S430" s="31">
        <v>2090</v>
      </c>
    </row>
    <row r="431" spans="1:19" ht="9" customHeight="1" x14ac:dyDescent="0.25">
      <c r="A431" s="5">
        <v>450534</v>
      </c>
      <c r="B431" s="6" t="s">
        <v>271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30">
        <v>720</v>
      </c>
      <c r="R431" s="30">
        <f>((S431-Q431)/2)+Q431</f>
        <v>855</v>
      </c>
      <c r="S431" s="30">
        <v>990</v>
      </c>
    </row>
    <row r="432" spans="1:19" ht="9" customHeight="1" x14ac:dyDescent="0.25">
      <c r="A432" s="8">
        <v>450530</v>
      </c>
      <c r="B432" s="9" t="s">
        <v>272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1">
        <v>125</v>
      </c>
      <c r="R432" s="31">
        <f>((S432-Q432)/2)+Q432</f>
        <v>155</v>
      </c>
      <c r="S432" s="31">
        <v>185</v>
      </c>
    </row>
    <row r="433" spans="1:19" ht="9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41"/>
      <c r="R433" s="41"/>
      <c r="S433" s="41"/>
    </row>
    <row r="434" spans="1:19" ht="9" customHeight="1" x14ac:dyDescent="0.25">
      <c r="A434" s="3"/>
      <c r="B434" s="4" t="s">
        <v>273</v>
      </c>
      <c r="C434" s="10" t="s">
        <v>121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40"/>
      <c r="R434" s="40"/>
      <c r="S434" s="40"/>
    </row>
    <row r="435" spans="1:19" ht="9" customHeight="1" x14ac:dyDescent="0.25">
      <c r="A435" s="5">
        <v>450137</v>
      </c>
      <c r="B435" s="6" t="s">
        <v>126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30">
        <v>365</v>
      </c>
      <c r="R435" s="30">
        <f>((S435-Q435)/2)+Q435</f>
        <v>432.5</v>
      </c>
      <c r="S435" s="30">
        <v>500</v>
      </c>
    </row>
    <row r="436" spans="1:19" ht="9" customHeight="1" x14ac:dyDescent="0.25">
      <c r="A436" s="8">
        <v>450516</v>
      </c>
      <c r="B436" s="9" t="s">
        <v>274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1">
        <v>305</v>
      </c>
      <c r="R436" s="31">
        <f>((S436-Q436)/2)+Q436</f>
        <v>362.5</v>
      </c>
      <c r="S436" s="31">
        <v>420</v>
      </c>
    </row>
    <row r="437" spans="1:19" ht="8.5500000000000007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41"/>
      <c r="R437" s="41"/>
      <c r="S437" s="41"/>
    </row>
    <row r="438" spans="1:19" ht="9" customHeight="1" x14ac:dyDescent="0.25">
      <c r="A438" s="3"/>
      <c r="B438" s="4" t="s">
        <v>275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40"/>
      <c r="R438" s="40"/>
      <c r="S438" s="40"/>
    </row>
    <row r="439" spans="1:19" ht="9" customHeight="1" x14ac:dyDescent="0.25">
      <c r="A439" s="5">
        <v>450126</v>
      </c>
      <c r="B439" s="6" t="s">
        <v>68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30">
        <v>545</v>
      </c>
      <c r="R439" s="30">
        <f>((S439-Q439)/2)+Q439</f>
        <v>650</v>
      </c>
      <c r="S439" s="30">
        <v>755</v>
      </c>
    </row>
    <row r="440" spans="1:19" ht="9" customHeight="1" x14ac:dyDescent="0.25">
      <c r="A440" s="8">
        <v>450108</v>
      </c>
      <c r="B440" s="9" t="s">
        <v>128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1">
        <v>1890</v>
      </c>
      <c r="R440" s="31">
        <f>((S440-Q440)/2)+Q440</f>
        <v>2235</v>
      </c>
      <c r="S440" s="31">
        <v>2580</v>
      </c>
    </row>
    <row r="441" spans="1:19" ht="9" customHeight="1" x14ac:dyDescent="0.25">
      <c r="A441" s="5">
        <v>450222</v>
      </c>
      <c r="B441" s="6" t="s">
        <v>131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30">
        <v>795</v>
      </c>
      <c r="R441" s="30">
        <f>((S441-Q441)/2)+Q441</f>
        <v>945</v>
      </c>
      <c r="S441" s="30">
        <v>1095</v>
      </c>
    </row>
    <row r="442" spans="1:19" ht="9" customHeight="1" x14ac:dyDescent="0.25">
      <c r="A442" s="8">
        <v>450569</v>
      </c>
      <c r="B442" s="9" t="s">
        <v>276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1">
        <v>285</v>
      </c>
      <c r="R442" s="31">
        <f>((S442-Q442)/2)+Q442</f>
        <v>335</v>
      </c>
      <c r="S442" s="31">
        <v>385</v>
      </c>
    </row>
    <row r="443" spans="1:19" ht="8.5500000000000007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41"/>
      <c r="R443" s="41"/>
      <c r="S443" s="41"/>
    </row>
    <row r="444" spans="1:19" ht="9" customHeight="1" x14ac:dyDescent="0.25">
      <c r="A444" s="3"/>
      <c r="B444" s="4" t="s">
        <v>277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40"/>
      <c r="R444" s="40"/>
      <c r="S444" s="40"/>
    </row>
    <row r="445" spans="1:19" ht="9" customHeight="1" x14ac:dyDescent="0.25">
      <c r="A445" s="5">
        <v>450083</v>
      </c>
      <c r="B445" s="6" t="s">
        <v>133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30">
        <v>380</v>
      </c>
      <c r="R445" s="30">
        <f>((S445-Q445)/2)+Q445</f>
        <v>450</v>
      </c>
      <c r="S445" s="30">
        <v>520</v>
      </c>
    </row>
    <row r="446" spans="1:19" ht="9" customHeight="1" x14ac:dyDescent="0.25">
      <c r="A446" s="8">
        <v>450609</v>
      </c>
      <c r="B446" s="9" t="s">
        <v>278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1">
        <v>775</v>
      </c>
      <c r="R446" s="31">
        <f>((S446-Q446)/2)+Q446</f>
        <v>920</v>
      </c>
      <c r="S446" s="31">
        <v>1065</v>
      </c>
    </row>
    <row r="447" spans="1:19" ht="9" customHeight="1" x14ac:dyDescent="0.25">
      <c r="A447" s="5">
        <v>450001</v>
      </c>
      <c r="B447" s="6" t="s">
        <v>41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30">
        <v>990</v>
      </c>
      <c r="R447" s="30">
        <f>((S447-Q447)/2)+Q447</f>
        <v>1175</v>
      </c>
      <c r="S447" s="30">
        <v>1360</v>
      </c>
    </row>
    <row r="448" spans="1:19" ht="9" customHeight="1" x14ac:dyDescent="0.25">
      <c r="A448" s="8">
        <v>450519</v>
      </c>
      <c r="B448" s="9" t="s">
        <v>279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1">
        <v>1935</v>
      </c>
      <c r="R448" s="31">
        <f>((S448-Q448)/2)+Q448</f>
        <v>2275</v>
      </c>
      <c r="S448" s="31">
        <v>2615</v>
      </c>
    </row>
    <row r="449" spans="1:19" ht="8.5500000000000007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41"/>
      <c r="R449" s="41"/>
      <c r="S449" s="41"/>
    </row>
    <row r="450" spans="1:19" ht="9" customHeight="1" x14ac:dyDescent="0.25">
      <c r="A450" s="3"/>
      <c r="B450" s="4" t="s">
        <v>280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40"/>
      <c r="R450" s="40"/>
      <c r="S450" s="40"/>
    </row>
    <row r="451" spans="1:19" ht="9" customHeight="1" x14ac:dyDescent="0.25">
      <c r="A451" s="5">
        <v>450650</v>
      </c>
      <c r="B451" s="6" t="s">
        <v>281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30">
        <v>1780</v>
      </c>
      <c r="R451" s="30">
        <f>((S451-Q451)/2)+Q451</f>
        <v>2120</v>
      </c>
      <c r="S451" s="30">
        <v>2460</v>
      </c>
    </row>
    <row r="452" spans="1:19" ht="8.5500000000000007" customHeight="1" x14ac:dyDescent="0.25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40"/>
      <c r="R452" s="40"/>
      <c r="S452" s="40"/>
    </row>
    <row r="453" spans="1:19" ht="9" customHeight="1" x14ac:dyDescent="0.25">
      <c r="A453" s="23"/>
      <c r="B453" s="16" t="s">
        <v>282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41"/>
      <c r="R453" s="41"/>
      <c r="S453" s="41"/>
    </row>
    <row r="454" spans="1:19" ht="9" customHeight="1" x14ac:dyDescent="0.25">
      <c r="A454" s="8">
        <v>450514</v>
      </c>
      <c r="B454" s="9" t="s">
        <v>283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1">
        <v>1125</v>
      </c>
      <c r="R454" s="31">
        <f>((S454-Q454)/2)+Q454</f>
        <v>1332.5</v>
      </c>
      <c r="S454" s="31">
        <v>1540</v>
      </c>
    </row>
    <row r="455" spans="1:19" ht="9" customHeight="1" x14ac:dyDescent="0.25">
      <c r="A455" s="14">
        <v>450515</v>
      </c>
      <c r="B455" s="6" t="s">
        <v>284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30">
        <v>1125</v>
      </c>
      <c r="R455" s="30">
        <f>((S455-Q455)/2)+Q455</f>
        <v>1332.5</v>
      </c>
      <c r="S455" s="30">
        <v>1540</v>
      </c>
    </row>
    <row r="456" spans="1:19" ht="8.5500000000000007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40"/>
      <c r="R456" s="40"/>
      <c r="S456" s="40"/>
    </row>
    <row r="457" spans="1:19" ht="9" customHeight="1" x14ac:dyDescent="0.25">
      <c r="A457" s="7"/>
      <c r="B457" s="16" t="s">
        <v>285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41"/>
      <c r="R457" s="41"/>
      <c r="S457" s="41"/>
    </row>
    <row r="458" spans="1:19" ht="9" customHeight="1" x14ac:dyDescent="0.25">
      <c r="A458" s="8">
        <v>450733</v>
      </c>
      <c r="B458" s="9" t="s">
        <v>286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1">
        <v>365</v>
      </c>
      <c r="R458" s="31">
        <f>((S458-Q458)/2)+Q458</f>
        <v>462.5</v>
      </c>
      <c r="S458" s="31">
        <v>560</v>
      </c>
    </row>
    <row r="459" spans="1:19" ht="8.5500000000000007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41"/>
      <c r="R459" s="41"/>
      <c r="S459" s="41"/>
    </row>
    <row r="460" spans="1:19" ht="9" customHeight="1" x14ac:dyDescent="0.25">
      <c r="A460" s="3"/>
      <c r="B460" s="4" t="s">
        <v>287</v>
      </c>
      <c r="C460" s="4" t="s">
        <v>121</v>
      </c>
      <c r="D460" s="11">
        <v>1.1000000000000001</v>
      </c>
      <c r="E460" s="11">
        <v>2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40"/>
      <c r="R460" s="40"/>
      <c r="S460" s="40"/>
    </row>
    <row r="461" spans="1:19" ht="9" customHeight="1" x14ac:dyDescent="0.25">
      <c r="A461" s="5">
        <v>450151</v>
      </c>
      <c r="B461" s="6" t="s">
        <v>288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30">
        <v>405</v>
      </c>
      <c r="R461" s="30">
        <f>((S461-Q461)/2)+Q461</f>
        <v>475</v>
      </c>
      <c r="S461" s="30">
        <v>545</v>
      </c>
    </row>
    <row r="462" spans="1:19" ht="9" customHeight="1" x14ac:dyDescent="0.25">
      <c r="A462" s="8">
        <v>450152</v>
      </c>
      <c r="B462" s="9" t="s">
        <v>289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1">
        <v>615</v>
      </c>
      <c r="R462" s="31">
        <f>((S462-Q462)/2)+Q462</f>
        <v>725</v>
      </c>
      <c r="S462" s="31">
        <v>835</v>
      </c>
    </row>
    <row r="463" spans="1:19" ht="9" customHeight="1" x14ac:dyDescent="0.25">
      <c r="A463" s="5">
        <v>450567</v>
      </c>
      <c r="B463" s="6" t="s">
        <v>290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30">
        <v>4090</v>
      </c>
      <c r="R463" s="30">
        <f>((S463-Q463)/2)+Q463</f>
        <v>4852.5</v>
      </c>
      <c r="S463" s="30">
        <v>5615</v>
      </c>
    </row>
    <row r="464" spans="1:19" ht="9" customHeight="1" x14ac:dyDescent="0.25">
      <c r="A464" s="8">
        <v>450690</v>
      </c>
      <c r="B464" s="9" t="s">
        <v>291</v>
      </c>
      <c r="C464" s="3"/>
      <c r="D464" s="12" t="s">
        <v>8</v>
      </c>
      <c r="E464" s="12" t="s">
        <v>8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1">
        <v>1215</v>
      </c>
      <c r="R464" s="31">
        <f>((S464-Q464)/2)+Q464</f>
        <v>1425</v>
      </c>
      <c r="S464" s="31">
        <v>1635</v>
      </c>
    </row>
    <row r="465" spans="1:19" ht="9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41"/>
      <c r="R465" s="41"/>
      <c r="S465" s="41"/>
    </row>
    <row r="466" spans="1:19" ht="9" customHeight="1" x14ac:dyDescent="0.25">
      <c r="A466" s="3"/>
      <c r="B466" s="4" t="s">
        <v>292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40"/>
      <c r="R466" s="40"/>
      <c r="S466" s="40"/>
    </row>
    <row r="467" spans="1:19" ht="9" customHeight="1" x14ac:dyDescent="0.25">
      <c r="A467" s="5">
        <v>450154</v>
      </c>
      <c r="B467" s="6" t="s">
        <v>293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30">
        <v>675</v>
      </c>
      <c r="R467" s="30">
        <f t="shared" ref="R467:R478" si="16">((S467-Q467)/2)+Q467</f>
        <v>802.5</v>
      </c>
      <c r="S467" s="30">
        <v>930</v>
      </c>
    </row>
    <row r="468" spans="1:19" ht="9" customHeight="1" x14ac:dyDescent="0.25">
      <c r="A468" s="8">
        <v>450155</v>
      </c>
      <c r="B468" s="9" t="s">
        <v>38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1">
        <v>605</v>
      </c>
      <c r="R468" s="31">
        <f t="shared" si="16"/>
        <v>720</v>
      </c>
      <c r="S468" s="31">
        <v>835</v>
      </c>
    </row>
    <row r="469" spans="1:19" ht="9" customHeight="1" x14ac:dyDescent="0.25">
      <c r="A469" s="5">
        <v>450156</v>
      </c>
      <c r="B469" s="6" t="s">
        <v>294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30">
        <v>340</v>
      </c>
      <c r="R469" s="30">
        <f t="shared" si="16"/>
        <v>400</v>
      </c>
      <c r="S469" s="30">
        <v>460</v>
      </c>
    </row>
    <row r="470" spans="1:19" ht="9" customHeight="1" x14ac:dyDescent="0.25">
      <c r="A470" s="8">
        <v>450157</v>
      </c>
      <c r="B470" s="9" t="s">
        <v>295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1">
        <v>115</v>
      </c>
      <c r="R470" s="31">
        <f t="shared" si="16"/>
        <v>135</v>
      </c>
      <c r="S470" s="31">
        <v>155</v>
      </c>
    </row>
    <row r="471" spans="1:19" ht="9" customHeight="1" x14ac:dyDescent="0.25">
      <c r="A471" s="5">
        <v>450290</v>
      </c>
      <c r="B471" s="6" t="s">
        <v>296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30">
        <v>11625</v>
      </c>
      <c r="R471" s="30">
        <f t="shared" si="16"/>
        <v>13800</v>
      </c>
      <c r="S471" s="30">
        <v>15975</v>
      </c>
    </row>
    <row r="472" spans="1:19" ht="9" customHeight="1" x14ac:dyDescent="0.25">
      <c r="A472" s="8">
        <v>450283</v>
      </c>
      <c r="B472" s="9" t="s">
        <v>297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1">
        <v>4430</v>
      </c>
      <c r="R472" s="31">
        <f t="shared" si="16"/>
        <v>5257.5</v>
      </c>
      <c r="S472" s="31">
        <v>6085</v>
      </c>
    </row>
    <row r="473" spans="1:19" ht="9" customHeight="1" x14ac:dyDescent="0.25">
      <c r="A473" s="5">
        <v>450284</v>
      </c>
      <c r="B473" s="6" t="s">
        <v>298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30">
        <v>4430</v>
      </c>
      <c r="R473" s="30">
        <f t="shared" si="16"/>
        <v>5257.5</v>
      </c>
      <c r="S473" s="30">
        <v>6085</v>
      </c>
    </row>
    <row r="474" spans="1:19" ht="9" customHeight="1" x14ac:dyDescent="0.25">
      <c r="A474" s="8">
        <v>450243</v>
      </c>
      <c r="B474" s="9" t="s">
        <v>299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1">
        <v>2790</v>
      </c>
      <c r="R474" s="31">
        <f t="shared" si="16"/>
        <v>3310</v>
      </c>
      <c r="S474" s="31">
        <v>3830</v>
      </c>
    </row>
    <row r="475" spans="1:19" ht="9" customHeight="1" x14ac:dyDescent="0.25">
      <c r="A475" s="5">
        <v>450542</v>
      </c>
      <c r="B475" s="6" t="s">
        <v>300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30">
        <v>660</v>
      </c>
      <c r="R475" s="30">
        <f t="shared" si="16"/>
        <v>785</v>
      </c>
      <c r="S475" s="30">
        <v>910</v>
      </c>
    </row>
    <row r="476" spans="1:19" ht="9" customHeight="1" x14ac:dyDescent="0.25">
      <c r="A476" s="8">
        <v>450543</v>
      </c>
      <c r="B476" s="9" t="s">
        <v>301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1">
        <v>30</v>
      </c>
      <c r="R476" s="31">
        <f t="shared" si="16"/>
        <v>37.5</v>
      </c>
      <c r="S476" s="31">
        <v>45</v>
      </c>
    </row>
    <row r="477" spans="1:19" ht="9" customHeight="1" x14ac:dyDescent="0.25">
      <c r="A477" s="5">
        <v>450734</v>
      </c>
      <c r="B477" s="6" t="s">
        <v>302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30">
        <v>600</v>
      </c>
      <c r="R477" s="30">
        <f t="shared" si="16"/>
        <v>760</v>
      </c>
      <c r="S477" s="30">
        <v>920</v>
      </c>
    </row>
    <row r="478" spans="1:19" ht="9" customHeight="1" x14ac:dyDescent="0.25">
      <c r="A478" s="8">
        <v>450856</v>
      </c>
      <c r="B478" s="9" t="s">
        <v>303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1">
        <v>840</v>
      </c>
      <c r="R478" s="31">
        <f t="shared" si="16"/>
        <v>925</v>
      </c>
      <c r="S478" s="31">
        <v>1010</v>
      </c>
    </row>
    <row r="479" spans="1:19" ht="8.5500000000000007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41"/>
      <c r="R479" s="41"/>
      <c r="S479" s="41"/>
    </row>
    <row r="480" spans="1:19" ht="9" customHeight="1" x14ac:dyDescent="0.25">
      <c r="A480" s="3"/>
      <c r="B480" s="4" t="s">
        <v>304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40"/>
      <c r="R480" s="40"/>
      <c r="S480" s="40"/>
    </row>
    <row r="481" spans="1:19" ht="9" customHeight="1" x14ac:dyDescent="0.25">
      <c r="A481" s="5">
        <v>450158</v>
      </c>
      <c r="B481" s="6" t="s">
        <v>305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30">
        <v>2895</v>
      </c>
      <c r="R481" s="30">
        <f>((S481-Q481)/2)+Q481</f>
        <v>3435</v>
      </c>
      <c r="S481" s="30">
        <v>3975</v>
      </c>
    </row>
    <row r="482" spans="1:19" ht="9" customHeight="1" x14ac:dyDescent="0.25">
      <c r="A482" s="8">
        <v>450295</v>
      </c>
      <c r="B482" s="9" t="s">
        <v>50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1">
        <v>3085</v>
      </c>
      <c r="R482" s="31">
        <f>((S482-Q482)/2)+Q482</f>
        <v>3657.5</v>
      </c>
      <c r="S482" s="31">
        <v>4230</v>
      </c>
    </row>
    <row r="483" spans="1:19" ht="8.5500000000000007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41"/>
      <c r="R483" s="41"/>
      <c r="S483" s="41"/>
    </row>
    <row r="484" spans="1:19" ht="9" customHeight="1" x14ac:dyDescent="0.25">
      <c r="A484" s="3"/>
      <c r="B484" s="4" t="s">
        <v>306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40"/>
      <c r="R484" s="40"/>
      <c r="S484" s="40"/>
    </row>
    <row r="485" spans="1:19" ht="9" customHeight="1" x14ac:dyDescent="0.25">
      <c r="A485" s="5">
        <v>450173</v>
      </c>
      <c r="B485" s="6" t="s">
        <v>307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30">
        <v>4310</v>
      </c>
      <c r="R485" s="30">
        <f t="shared" ref="R485:R494" si="17">((S485-Q485)/2)+Q485</f>
        <v>5115</v>
      </c>
      <c r="S485" s="30">
        <v>5920</v>
      </c>
    </row>
    <row r="486" spans="1:19" ht="9" customHeight="1" x14ac:dyDescent="0.25">
      <c r="A486" s="8">
        <v>450162</v>
      </c>
      <c r="B486" s="9" t="s">
        <v>308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1">
        <v>915</v>
      </c>
      <c r="R486" s="31">
        <f t="shared" si="17"/>
        <v>1082.5</v>
      </c>
      <c r="S486" s="31">
        <v>1250</v>
      </c>
    </row>
    <row r="487" spans="1:19" ht="9" customHeight="1" x14ac:dyDescent="0.25">
      <c r="A487" s="5">
        <v>450141</v>
      </c>
      <c r="B487" s="6" t="s">
        <v>78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30">
        <v>525</v>
      </c>
      <c r="R487" s="30">
        <f t="shared" si="17"/>
        <v>625</v>
      </c>
      <c r="S487" s="30">
        <v>725</v>
      </c>
    </row>
    <row r="488" spans="1:19" ht="9" customHeight="1" x14ac:dyDescent="0.25">
      <c r="A488" s="8">
        <v>450372</v>
      </c>
      <c r="B488" s="9" t="s">
        <v>309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1">
        <v>855</v>
      </c>
      <c r="R488" s="31">
        <f t="shared" si="17"/>
        <v>1020</v>
      </c>
      <c r="S488" s="31">
        <v>1185</v>
      </c>
    </row>
    <row r="489" spans="1:19" ht="9" customHeight="1" x14ac:dyDescent="0.25">
      <c r="A489" s="5">
        <v>450165</v>
      </c>
      <c r="B489" s="6" t="s">
        <v>310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30">
        <v>345</v>
      </c>
      <c r="R489" s="30">
        <f t="shared" si="17"/>
        <v>407.5</v>
      </c>
      <c r="S489" s="30">
        <v>470</v>
      </c>
    </row>
    <row r="490" spans="1:19" ht="9" customHeight="1" x14ac:dyDescent="0.25">
      <c r="A490" s="8">
        <v>450139</v>
      </c>
      <c r="B490" s="9" t="s">
        <v>76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1">
        <v>55</v>
      </c>
      <c r="R490" s="31">
        <f t="shared" si="17"/>
        <v>62.5</v>
      </c>
      <c r="S490" s="31">
        <v>70</v>
      </c>
    </row>
    <row r="491" spans="1:19" ht="9" customHeight="1" x14ac:dyDescent="0.25">
      <c r="A491" s="5">
        <v>450126</v>
      </c>
      <c r="B491" s="6" t="s">
        <v>68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30">
        <v>545</v>
      </c>
      <c r="R491" s="30">
        <f t="shared" si="17"/>
        <v>650</v>
      </c>
      <c r="S491" s="30">
        <v>755</v>
      </c>
    </row>
    <row r="492" spans="1:19" ht="9" customHeight="1" x14ac:dyDescent="0.25">
      <c r="A492" s="8">
        <v>450204</v>
      </c>
      <c r="B492" s="9" t="s">
        <v>311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1">
        <v>305</v>
      </c>
      <c r="R492" s="31">
        <f t="shared" si="17"/>
        <v>362.5</v>
      </c>
      <c r="S492" s="31">
        <v>420</v>
      </c>
    </row>
    <row r="493" spans="1:19" ht="9" customHeight="1" x14ac:dyDescent="0.25">
      <c r="A493" s="5">
        <v>450174</v>
      </c>
      <c r="B493" s="6" t="s">
        <v>312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30">
        <v>290</v>
      </c>
      <c r="R493" s="30">
        <f t="shared" si="17"/>
        <v>340</v>
      </c>
      <c r="S493" s="30">
        <v>390</v>
      </c>
    </row>
    <row r="494" spans="1:19" ht="9" customHeight="1" x14ac:dyDescent="0.25">
      <c r="A494" s="8">
        <v>450614</v>
      </c>
      <c r="B494" s="9" t="s">
        <v>240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1">
        <v>270</v>
      </c>
      <c r="R494" s="31">
        <f t="shared" si="17"/>
        <v>320</v>
      </c>
      <c r="S494" s="31">
        <v>370</v>
      </c>
    </row>
    <row r="495" spans="1:19" ht="8.5500000000000007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41"/>
      <c r="R495" s="41"/>
      <c r="S495" s="41"/>
    </row>
    <row r="496" spans="1:19" ht="9" customHeight="1" x14ac:dyDescent="0.25">
      <c r="A496" s="3"/>
      <c r="B496" s="4" t="s">
        <v>313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40"/>
      <c r="R496" s="40"/>
      <c r="S496" s="40"/>
    </row>
    <row r="497" spans="1:19" ht="9" customHeight="1" x14ac:dyDescent="0.25">
      <c r="A497" s="5">
        <v>450167</v>
      </c>
      <c r="B497" s="6" t="s">
        <v>314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30">
        <v>3090</v>
      </c>
      <c r="R497" s="30">
        <f t="shared" ref="R497:R515" si="18">((S497-Q497)/2)+Q497</f>
        <v>3662.5</v>
      </c>
      <c r="S497" s="30">
        <v>4235</v>
      </c>
    </row>
    <row r="498" spans="1:19" ht="9" customHeight="1" x14ac:dyDescent="0.25">
      <c r="A498" s="8">
        <v>450168</v>
      </c>
      <c r="B498" s="9" t="s">
        <v>315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1">
        <v>780</v>
      </c>
      <c r="R498" s="31">
        <f t="shared" si="18"/>
        <v>925</v>
      </c>
      <c r="S498" s="31">
        <v>1070</v>
      </c>
    </row>
    <row r="499" spans="1:19" ht="9" customHeight="1" x14ac:dyDescent="0.25">
      <c r="A499" s="5">
        <v>450169</v>
      </c>
      <c r="B499" s="6" t="s">
        <v>316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30">
        <v>1135</v>
      </c>
      <c r="R499" s="30">
        <f t="shared" si="18"/>
        <v>1345</v>
      </c>
      <c r="S499" s="30">
        <v>1555</v>
      </c>
    </row>
    <row r="500" spans="1:19" ht="9" customHeight="1" x14ac:dyDescent="0.25">
      <c r="A500" s="8">
        <v>450170</v>
      </c>
      <c r="B500" s="9" t="s">
        <v>317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1">
        <v>1090</v>
      </c>
      <c r="R500" s="31">
        <f t="shared" si="18"/>
        <v>1295</v>
      </c>
      <c r="S500" s="31">
        <v>1500</v>
      </c>
    </row>
    <row r="501" spans="1:19" ht="9" customHeight="1" x14ac:dyDescent="0.25">
      <c r="A501" s="5">
        <v>450171</v>
      </c>
      <c r="B501" s="6" t="s">
        <v>318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30">
        <v>800</v>
      </c>
      <c r="R501" s="30">
        <f t="shared" si="18"/>
        <v>952.5</v>
      </c>
      <c r="S501" s="30">
        <v>1105</v>
      </c>
    </row>
    <row r="502" spans="1:19" ht="9" customHeight="1" x14ac:dyDescent="0.25">
      <c r="A502" s="8">
        <v>450172</v>
      </c>
      <c r="B502" s="9" t="s">
        <v>319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1">
        <v>485</v>
      </c>
      <c r="R502" s="31">
        <f t="shared" si="18"/>
        <v>572.5</v>
      </c>
      <c r="S502" s="31">
        <v>660</v>
      </c>
    </row>
    <row r="503" spans="1:19" ht="9" customHeight="1" x14ac:dyDescent="0.25">
      <c r="A503" s="5">
        <v>450217</v>
      </c>
      <c r="B503" s="6" t="s">
        <v>320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30">
        <v>585</v>
      </c>
      <c r="R503" s="30">
        <f t="shared" si="18"/>
        <v>692.5</v>
      </c>
      <c r="S503" s="30">
        <v>800</v>
      </c>
    </row>
    <row r="504" spans="1:19" ht="9" customHeight="1" x14ac:dyDescent="0.25">
      <c r="A504" s="8">
        <v>450187</v>
      </c>
      <c r="B504" s="9" t="s">
        <v>321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1">
        <v>115</v>
      </c>
      <c r="R504" s="31">
        <f t="shared" si="18"/>
        <v>140</v>
      </c>
      <c r="S504" s="31">
        <v>165</v>
      </c>
    </row>
    <row r="505" spans="1:19" ht="9" customHeight="1" x14ac:dyDescent="0.25">
      <c r="A505" s="5">
        <v>450186</v>
      </c>
      <c r="B505" s="6" t="s">
        <v>322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30">
        <v>125</v>
      </c>
      <c r="R505" s="30">
        <f t="shared" si="18"/>
        <v>145</v>
      </c>
      <c r="S505" s="30">
        <v>165</v>
      </c>
    </row>
    <row r="506" spans="1:19" ht="9" customHeight="1" x14ac:dyDescent="0.25">
      <c r="A506" s="8">
        <v>450252</v>
      </c>
      <c r="B506" s="9" t="s">
        <v>323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1">
        <v>1460</v>
      </c>
      <c r="R506" s="31">
        <f t="shared" si="18"/>
        <v>1727.5</v>
      </c>
      <c r="S506" s="31">
        <v>1995</v>
      </c>
    </row>
    <row r="507" spans="1:19" ht="9" customHeight="1" x14ac:dyDescent="0.25">
      <c r="A507" s="5">
        <v>450250</v>
      </c>
      <c r="B507" s="6" t="s">
        <v>324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30">
        <v>930</v>
      </c>
      <c r="R507" s="30">
        <f t="shared" si="18"/>
        <v>1105</v>
      </c>
      <c r="S507" s="30">
        <v>1280</v>
      </c>
    </row>
    <row r="508" spans="1:19" ht="9" customHeight="1" x14ac:dyDescent="0.25">
      <c r="A508" s="8">
        <v>450212</v>
      </c>
      <c r="B508" s="9" t="s">
        <v>325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1">
        <v>940</v>
      </c>
      <c r="R508" s="31">
        <f t="shared" si="18"/>
        <v>1120</v>
      </c>
      <c r="S508" s="31">
        <v>1300</v>
      </c>
    </row>
    <row r="509" spans="1:19" ht="9" customHeight="1" x14ac:dyDescent="0.25">
      <c r="A509" s="5">
        <v>450256</v>
      </c>
      <c r="B509" s="6" t="s">
        <v>326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30">
        <v>135</v>
      </c>
      <c r="R509" s="30">
        <f t="shared" si="18"/>
        <v>160</v>
      </c>
      <c r="S509" s="30">
        <v>185</v>
      </c>
    </row>
    <row r="510" spans="1:19" ht="9" customHeight="1" x14ac:dyDescent="0.25">
      <c r="A510" s="8">
        <v>450257</v>
      </c>
      <c r="B510" s="9" t="s">
        <v>327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1">
        <v>105</v>
      </c>
      <c r="R510" s="31">
        <f t="shared" si="18"/>
        <v>125</v>
      </c>
      <c r="S510" s="31">
        <v>145</v>
      </c>
    </row>
    <row r="511" spans="1:19" ht="9" customHeight="1" x14ac:dyDescent="0.25">
      <c r="A511" s="5">
        <v>450179</v>
      </c>
      <c r="B511" s="6" t="s">
        <v>328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30">
        <v>975</v>
      </c>
      <c r="R511" s="30">
        <f t="shared" si="18"/>
        <v>554</v>
      </c>
      <c r="S511" s="30">
        <v>133</v>
      </c>
    </row>
    <row r="512" spans="1:19" ht="9" customHeight="1" x14ac:dyDescent="0.25">
      <c r="A512" s="8">
        <v>450270</v>
      </c>
      <c r="B512" s="9" t="s">
        <v>329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1">
        <v>995</v>
      </c>
      <c r="R512" s="31">
        <f t="shared" si="18"/>
        <v>1180</v>
      </c>
      <c r="S512" s="31">
        <v>1365</v>
      </c>
    </row>
    <row r="513" spans="1:19" ht="9" customHeight="1" x14ac:dyDescent="0.25">
      <c r="A513" s="5">
        <v>450506</v>
      </c>
      <c r="B513" s="6" t="s">
        <v>330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30">
        <v>65</v>
      </c>
      <c r="R513" s="30">
        <f t="shared" si="18"/>
        <v>75</v>
      </c>
      <c r="S513" s="30">
        <v>85</v>
      </c>
    </row>
    <row r="514" spans="1:19" ht="9" customHeight="1" x14ac:dyDescent="0.25">
      <c r="A514" s="8">
        <v>450189</v>
      </c>
      <c r="B514" s="9" t="s">
        <v>331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1">
        <v>245</v>
      </c>
      <c r="R514" s="31">
        <f t="shared" si="18"/>
        <v>287.5</v>
      </c>
      <c r="S514" s="31">
        <v>330</v>
      </c>
    </row>
    <row r="515" spans="1:19" ht="9" customHeight="1" x14ac:dyDescent="0.25">
      <c r="A515" s="5">
        <v>450512</v>
      </c>
      <c r="B515" s="6" t="s">
        <v>332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30">
        <v>115</v>
      </c>
      <c r="R515" s="30">
        <f t="shared" si="18"/>
        <v>132.5</v>
      </c>
      <c r="S515" s="30">
        <v>150</v>
      </c>
    </row>
    <row r="516" spans="1:19" ht="8.5500000000000007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40"/>
      <c r="R516" s="40"/>
      <c r="S516" s="40"/>
    </row>
    <row r="517" spans="1:19" ht="9" customHeight="1" x14ac:dyDescent="0.25">
      <c r="A517" s="7"/>
      <c r="B517" s="16" t="s">
        <v>333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41"/>
      <c r="R517" s="41"/>
      <c r="S517" s="41"/>
    </row>
    <row r="518" spans="1:19" ht="9" customHeight="1" x14ac:dyDescent="0.25">
      <c r="A518" s="8">
        <v>450494</v>
      </c>
      <c r="B518" s="9" t="s">
        <v>334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1">
        <v>1365</v>
      </c>
      <c r="R518" s="31">
        <f t="shared" ref="R518:R559" si="19">((S518-Q518)/2)+Q518</f>
        <v>1620</v>
      </c>
      <c r="S518" s="31">
        <v>1875</v>
      </c>
    </row>
    <row r="519" spans="1:19" ht="9" customHeight="1" x14ac:dyDescent="0.25">
      <c r="A519" s="5">
        <v>450176</v>
      </c>
      <c r="B519" s="6" t="s">
        <v>335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30">
        <v>105</v>
      </c>
      <c r="R519" s="30">
        <f t="shared" si="19"/>
        <v>125</v>
      </c>
      <c r="S519" s="30">
        <v>145</v>
      </c>
    </row>
    <row r="520" spans="1:19" ht="9" customHeight="1" x14ac:dyDescent="0.25">
      <c r="A520" s="8">
        <v>450177</v>
      </c>
      <c r="B520" s="9" t="s">
        <v>336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1">
        <v>270</v>
      </c>
      <c r="R520" s="31">
        <f t="shared" si="19"/>
        <v>317.5</v>
      </c>
      <c r="S520" s="31">
        <v>365</v>
      </c>
    </row>
    <row r="521" spans="1:19" ht="9" customHeight="1" x14ac:dyDescent="0.25">
      <c r="A521" s="5">
        <v>450178</v>
      </c>
      <c r="B521" s="6" t="s">
        <v>337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30">
        <v>345</v>
      </c>
      <c r="R521" s="30">
        <f t="shared" si="19"/>
        <v>407.5</v>
      </c>
      <c r="S521" s="30">
        <v>470</v>
      </c>
    </row>
    <row r="522" spans="1:19" ht="9" customHeight="1" x14ac:dyDescent="0.25">
      <c r="A522" s="8">
        <v>450183</v>
      </c>
      <c r="B522" s="9" t="s">
        <v>179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1">
        <v>25</v>
      </c>
      <c r="R522" s="31">
        <f t="shared" si="19"/>
        <v>27.5</v>
      </c>
      <c r="S522" s="31">
        <v>30</v>
      </c>
    </row>
    <row r="523" spans="1:19" ht="9" customHeight="1" x14ac:dyDescent="0.25">
      <c r="A523" s="5">
        <v>450185</v>
      </c>
      <c r="B523" s="6" t="s">
        <v>338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30">
        <v>350</v>
      </c>
      <c r="R523" s="30">
        <f t="shared" si="19"/>
        <v>417.5</v>
      </c>
      <c r="S523" s="30">
        <v>485</v>
      </c>
    </row>
    <row r="524" spans="1:19" ht="9" customHeight="1" x14ac:dyDescent="0.25">
      <c r="A524" s="8">
        <v>450370</v>
      </c>
      <c r="B524" s="9" t="s">
        <v>339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1">
        <v>525</v>
      </c>
      <c r="R524" s="31">
        <f t="shared" si="19"/>
        <v>620</v>
      </c>
      <c r="S524" s="31">
        <v>715</v>
      </c>
    </row>
    <row r="525" spans="1:19" ht="9" customHeight="1" x14ac:dyDescent="0.25">
      <c r="A525" s="5">
        <v>450350</v>
      </c>
      <c r="B525" s="6" t="s">
        <v>340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30">
        <v>860</v>
      </c>
      <c r="R525" s="30">
        <f t="shared" si="19"/>
        <v>1025</v>
      </c>
      <c r="S525" s="30">
        <v>1190</v>
      </c>
    </row>
    <row r="526" spans="1:19" ht="9" customHeight="1" x14ac:dyDescent="0.25">
      <c r="A526" s="8">
        <v>450352</v>
      </c>
      <c r="B526" s="9" t="s">
        <v>341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1">
        <v>390</v>
      </c>
      <c r="R526" s="31">
        <f t="shared" si="19"/>
        <v>465</v>
      </c>
      <c r="S526" s="31">
        <v>540</v>
      </c>
    </row>
    <row r="527" spans="1:19" ht="9" customHeight="1" x14ac:dyDescent="0.25">
      <c r="A527" s="5">
        <v>450354</v>
      </c>
      <c r="B527" s="6" t="s">
        <v>342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30">
        <v>150</v>
      </c>
      <c r="R527" s="30">
        <f t="shared" si="19"/>
        <v>172.5</v>
      </c>
      <c r="S527" s="30">
        <v>195</v>
      </c>
    </row>
    <row r="528" spans="1:19" ht="9" customHeight="1" x14ac:dyDescent="0.25">
      <c r="A528" s="8">
        <v>450160</v>
      </c>
      <c r="B528" s="9" t="s">
        <v>84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1">
        <v>360</v>
      </c>
      <c r="R528" s="31">
        <f t="shared" si="19"/>
        <v>422.5</v>
      </c>
      <c r="S528" s="31">
        <v>485</v>
      </c>
    </row>
    <row r="529" spans="1:19" ht="9" customHeight="1" x14ac:dyDescent="0.25">
      <c r="A529" s="5">
        <v>450489</v>
      </c>
      <c r="B529" s="6" t="s">
        <v>343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30">
        <v>2425</v>
      </c>
      <c r="R529" s="30">
        <f t="shared" si="19"/>
        <v>2877.5</v>
      </c>
      <c r="S529" s="30">
        <v>3330</v>
      </c>
    </row>
    <row r="530" spans="1:19" ht="9" customHeight="1" x14ac:dyDescent="0.25">
      <c r="A530" s="8">
        <v>450366</v>
      </c>
      <c r="B530" s="9" t="s">
        <v>344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1">
        <v>405</v>
      </c>
      <c r="R530" s="31">
        <f t="shared" si="19"/>
        <v>475</v>
      </c>
      <c r="S530" s="31">
        <v>545</v>
      </c>
    </row>
    <row r="531" spans="1:19" ht="9" customHeight="1" x14ac:dyDescent="0.25">
      <c r="A531" s="5">
        <v>450531</v>
      </c>
      <c r="B531" s="6" t="s">
        <v>345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30">
        <v>65</v>
      </c>
      <c r="R531" s="30">
        <f t="shared" si="19"/>
        <v>75</v>
      </c>
      <c r="S531" s="30">
        <v>85</v>
      </c>
    </row>
    <row r="532" spans="1:19" ht="9" customHeight="1" x14ac:dyDescent="0.25">
      <c r="A532" s="8">
        <v>450535</v>
      </c>
      <c r="B532" s="9" t="s">
        <v>346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1">
        <v>1360</v>
      </c>
      <c r="R532" s="31">
        <f t="shared" si="19"/>
        <v>1615</v>
      </c>
      <c r="S532" s="31">
        <v>1870</v>
      </c>
    </row>
    <row r="533" spans="1:19" ht="9" customHeight="1" x14ac:dyDescent="0.25">
      <c r="A533" s="5">
        <v>450536</v>
      </c>
      <c r="B533" s="6" t="s">
        <v>347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30">
        <v>2305</v>
      </c>
      <c r="R533" s="30">
        <f t="shared" si="19"/>
        <v>2735</v>
      </c>
      <c r="S533" s="30">
        <v>3165</v>
      </c>
    </row>
    <row r="534" spans="1:19" ht="9" customHeight="1" x14ac:dyDescent="0.25">
      <c r="A534" s="8">
        <v>450537</v>
      </c>
      <c r="B534" s="9" t="s">
        <v>348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1">
        <v>1055</v>
      </c>
      <c r="R534" s="31">
        <f t="shared" si="19"/>
        <v>1250</v>
      </c>
      <c r="S534" s="31">
        <v>1445</v>
      </c>
    </row>
    <row r="535" spans="1:19" ht="9" customHeight="1" x14ac:dyDescent="0.25">
      <c r="A535" s="5">
        <v>450538</v>
      </c>
      <c r="B535" s="6" t="s">
        <v>349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30">
        <v>1290</v>
      </c>
      <c r="R535" s="30">
        <f t="shared" si="19"/>
        <v>1530</v>
      </c>
      <c r="S535" s="30">
        <v>1770</v>
      </c>
    </row>
    <row r="536" spans="1:19" ht="9" customHeight="1" x14ac:dyDescent="0.25">
      <c r="A536" s="8">
        <v>450510</v>
      </c>
      <c r="B536" s="9" t="s">
        <v>350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1">
        <v>55</v>
      </c>
      <c r="R536" s="31">
        <f t="shared" si="19"/>
        <v>62.5</v>
      </c>
      <c r="S536" s="31">
        <v>70</v>
      </c>
    </row>
    <row r="537" spans="1:19" ht="9" customHeight="1" x14ac:dyDescent="0.25">
      <c r="A537" s="5">
        <v>450600</v>
      </c>
      <c r="B537" s="6" t="s">
        <v>351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30">
        <v>95</v>
      </c>
      <c r="R537" s="30">
        <f t="shared" si="19"/>
        <v>112.5</v>
      </c>
      <c r="S537" s="30">
        <v>130</v>
      </c>
    </row>
    <row r="538" spans="1:19" ht="9" customHeight="1" x14ac:dyDescent="0.25">
      <c r="A538" s="8">
        <v>450606</v>
      </c>
      <c r="B538" s="9" t="s">
        <v>352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1">
        <v>90</v>
      </c>
      <c r="R538" s="31">
        <f t="shared" si="19"/>
        <v>102.5</v>
      </c>
      <c r="S538" s="31">
        <v>115</v>
      </c>
    </row>
    <row r="539" spans="1:19" ht="9" customHeight="1" x14ac:dyDescent="0.25">
      <c r="A539" s="5">
        <v>450607</v>
      </c>
      <c r="B539" s="6" t="s">
        <v>353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30">
        <v>85</v>
      </c>
      <c r="R539" s="30">
        <f t="shared" si="19"/>
        <v>97.5</v>
      </c>
      <c r="S539" s="30">
        <v>110</v>
      </c>
    </row>
    <row r="540" spans="1:19" ht="9" customHeight="1" x14ac:dyDescent="0.25">
      <c r="A540" s="8">
        <v>450616</v>
      </c>
      <c r="B540" s="9" t="s">
        <v>354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1">
        <v>740</v>
      </c>
      <c r="R540" s="31">
        <f t="shared" si="19"/>
        <v>877.5</v>
      </c>
      <c r="S540" s="31">
        <v>1015</v>
      </c>
    </row>
    <row r="541" spans="1:19" ht="9" customHeight="1" x14ac:dyDescent="0.25">
      <c r="A541" s="5">
        <v>450604</v>
      </c>
      <c r="B541" s="6" t="s">
        <v>355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30">
        <v>105</v>
      </c>
      <c r="R541" s="30">
        <f t="shared" si="19"/>
        <v>120</v>
      </c>
      <c r="S541" s="30">
        <v>135</v>
      </c>
    </row>
    <row r="542" spans="1:19" ht="9" customHeight="1" x14ac:dyDescent="0.25">
      <c r="A542" s="8">
        <v>450570</v>
      </c>
      <c r="B542" s="9" t="s">
        <v>356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1">
        <v>425</v>
      </c>
      <c r="R542" s="31">
        <f t="shared" si="19"/>
        <v>495</v>
      </c>
      <c r="S542" s="31">
        <v>565</v>
      </c>
    </row>
    <row r="543" spans="1:19" ht="9" customHeight="1" x14ac:dyDescent="0.25">
      <c r="A543" s="5">
        <v>450615</v>
      </c>
      <c r="B543" s="6" t="s">
        <v>357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30">
        <v>115</v>
      </c>
      <c r="R543" s="30">
        <f t="shared" si="19"/>
        <v>132.5</v>
      </c>
      <c r="S543" s="30">
        <v>150</v>
      </c>
    </row>
    <row r="544" spans="1:19" ht="9" customHeight="1" x14ac:dyDescent="0.25">
      <c r="A544" s="8">
        <v>450507</v>
      </c>
      <c r="B544" s="9" t="s">
        <v>358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1">
        <v>480</v>
      </c>
      <c r="R544" s="31">
        <f t="shared" si="19"/>
        <v>557.5</v>
      </c>
      <c r="S544" s="31">
        <v>635</v>
      </c>
    </row>
    <row r="545" spans="1:19" ht="9" customHeight="1" x14ac:dyDescent="0.25">
      <c r="A545" s="5">
        <v>450278</v>
      </c>
      <c r="B545" s="6" t="s">
        <v>359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30">
        <v>325</v>
      </c>
      <c r="R545" s="30">
        <f t="shared" si="19"/>
        <v>382.5</v>
      </c>
      <c r="S545" s="30">
        <v>440</v>
      </c>
    </row>
    <row r="546" spans="1:19" ht="9" customHeight="1" x14ac:dyDescent="0.25">
      <c r="A546" s="8">
        <v>450639</v>
      </c>
      <c r="B546" s="9" t="s">
        <v>360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1">
        <v>115</v>
      </c>
      <c r="R546" s="31">
        <f t="shared" si="19"/>
        <v>140</v>
      </c>
      <c r="S546" s="31">
        <v>165</v>
      </c>
    </row>
    <row r="547" spans="1:19" ht="9" customHeight="1" x14ac:dyDescent="0.25">
      <c r="A547" s="5">
        <v>450376</v>
      </c>
      <c r="B547" s="6" t="s">
        <v>361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30">
        <v>50</v>
      </c>
      <c r="R547" s="30">
        <f t="shared" si="19"/>
        <v>57.5</v>
      </c>
      <c r="S547" s="30">
        <v>65</v>
      </c>
    </row>
    <row r="548" spans="1:19" ht="9" customHeight="1" x14ac:dyDescent="0.25">
      <c r="A548" s="8">
        <v>450652</v>
      </c>
      <c r="B548" s="9" t="s">
        <v>362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1">
        <v>25</v>
      </c>
      <c r="R548" s="31">
        <f t="shared" si="19"/>
        <v>27.5</v>
      </c>
      <c r="S548" s="31">
        <v>30</v>
      </c>
    </row>
    <row r="549" spans="1:19" ht="9" customHeight="1" x14ac:dyDescent="0.25">
      <c r="A549" s="5">
        <v>450263</v>
      </c>
      <c r="B549" s="6" t="s">
        <v>363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30">
        <v>870</v>
      </c>
      <c r="R549" s="30">
        <f t="shared" si="19"/>
        <v>1022.5</v>
      </c>
      <c r="S549" s="30">
        <v>1175</v>
      </c>
    </row>
    <row r="550" spans="1:19" ht="9" customHeight="1" x14ac:dyDescent="0.25">
      <c r="A550" s="8">
        <v>450612</v>
      </c>
      <c r="B550" s="9" t="s">
        <v>101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1">
        <v>50</v>
      </c>
      <c r="R550" s="31">
        <f t="shared" si="19"/>
        <v>60</v>
      </c>
      <c r="S550" s="31">
        <v>70</v>
      </c>
    </row>
    <row r="551" spans="1:19" ht="9" customHeight="1" x14ac:dyDescent="0.25">
      <c r="A551" s="5">
        <v>450613</v>
      </c>
      <c r="B551" s="6" t="s">
        <v>364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30">
        <v>345</v>
      </c>
      <c r="R551" s="30">
        <f t="shared" si="19"/>
        <v>412.5</v>
      </c>
      <c r="S551" s="30">
        <v>480</v>
      </c>
    </row>
    <row r="552" spans="1:19" ht="9" customHeight="1" x14ac:dyDescent="0.25">
      <c r="A552" s="8">
        <v>450532</v>
      </c>
      <c r="B552" s="9" t="s">
        <v>365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1">
        <v>45</v>
      </c>
      <c r="R552" s="31">
        <f t="shared" si="19"/>
        <v>55</v>
      </c>
      <c r="S552" s="31">
        <v>65</v>
      </c>
    </row>
    <row r="553" spans="1:19" ht="9" customHeight="1" x14ac:dyDescent="0.25">
      <c r="A553" s="5">
        <v>450663</v>
      </c>
      <c r="B553" s="6" t="s">
        <v>105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30">
        <v>125</v>
      </c>
      <c r="R553" s="30">
        <f t="shared" si="19"/>
        <v>147.5</v>
      </c>
      <c r="S553" s="30">
        <v>170</v>
      </c>
    </row>
    <row r="554" spans="1:19" ht="9" customHeight="1" x14ac:dyDescent="0.25">
      <c r="A554" s="8">
        <v>450671</v>
      </c>
      <c r="B554" s="9" t="s">
        <v>366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1">
        <v>725</v>
      </c>
      <c r="R554" s="31">
        <f t="shared" si="19"/>
        <v>850</v>
      </c>
      <c r="S554" s="31">
        <v>975</v>
      </c>
    </row>
    <row r="555" spans="1:19" ht="9" customHeight="1" x14ac:dyDescent="0.25">
      <c r="A555" s="5">
        <v>450248</v>
      </c>
      <c r="B555" s="6" t="s">
        <v>367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30">
        <v>620</v>
      </c>
      <c r="R555" s="30">
        <f t="shared" si="19"/>
        <v>727.5</v>
      </c>
      <c r="S555" s="30">
        <v>835</v>
      </c>
    </row>
    <row r="556" spans="1:19" ht="9" customHeight="1" x14ac:dyDescent="0.25">
      <c r="A556" s="8">
        <v>452013</v>
      </c>
      <c r="B556" s="9" t="s">
        <v>368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1">
        <v>165</v>
      </c>
      <c r="R556" s="31">
        <f t="shared" si="19"/>
        <v>190</v>
      </c>
      <c r="S556" s="31">
        <v>215</v>
      </c>
    </row>
    <row r="557" spans="1:19" ht="9" customHeight="1" x14ac:dyDescent="0.25">
      <c r="A557" s="5">
        <v>450190</v>
      </c>
      <c r="B557" s="6" t="s">
        <v>369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30">
        <v>135</v>
      </c>
      <c r="R557" s="30">
        <f t="shared" si="19"/>
        <v>160</v>
      </c>
      <c r="S557" s="30">
        <v>185</v>
      </c>
    </row>
    <row r="558" spans="1:19" ht="9" customHeight="1" x14ac:dyDescent="0.25">
      <c r="A558" s="8">
        <v>450735</v>
      </c>
      <c r="B558" s="9" t="s">
        <v>370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1">
        <v>130</v>
      </c>
      <c r="R558" s="31">
        <f t="shared" si="19"/>
        <v>162.5</v>
      </c>
      <c r="S558" s="31">
        <v>195</v>
      </c>
    </row>
    <row r="559" spans="1:19" ht="9" customHeight="1" x14ac:dyDescent="0.25">
      <c r="A559" s="5">
        <v>450732</v>
      </c>
      <c r="B559" s="6" t="s">
        <v>112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30">
        <v>330</v>
      </c>
      <c r="R559" s="30">
        <f t="shared" si="19"/>
        <v>417.5</v>
      </c>
      <c r="S559" s="30">
        <v>505</v>
      </c>
    </row>
    <row r="560" spans="1:19" ht="8.5500000000000007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40"/>
      <c r="R560" s="40"/>
      <c r="S560" s="40"/>
    </row>
    <row r="561" spans="1:19" ht="9" customHeight="1" x14ac:dyDescent="0.25">
      <c r="A561" s="7"/>
      <c r="B561" s="16" t="s">
        <v>371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41"/>
      <c r="R561" s="41"/>
      <c r="S561" s="41"/>
    </row>
    <row r="562" spans="1:19" ht="9" customHeight="1" x14ac:dyDescent="0.25">
      <c r="A562" s="8">
        <v>450329</v>
      </c>
      <c r="B562" s="34" t="s">
        <v>474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1">
        <v>185</v>
      </c>
      <c r="R562" s="31">
        <f t="shared" ref="R562:R573" si="20">((S562-Q562)/2)+Q562</f>
        <v>217.5</v>
      </c>
      <c r="S562" s="31">
        <v>250</v>
      </c>
    </row>
    <row r="563" spans="1:19" ht="9" customHeight="1" x14ac:dyDescent="0.25">
      <c r="A563" s="5">
        <v>450330</v>
      </c>
      <c r="B563" s="35" t="s">
        <v>475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30">
        <v>2425</v>
      </c>
      <c r="R563" s="30">
        <f t="shared" si="20"/>
        <v>2877.5</v>
      </c>
      <c r="S563" s="30">
        <v>3330</v>
      </c>
    </row>
    <row r="564" spans="1:19" ht="9" customHeight="1" x14ac:dyDescent="0.25">
      <c r="A564" s="8">
        <v>450331</v>
      </c>
      <c r="B564" s="34" t="s">
        <v>476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1">
        <v>2425</v>
      </c>
      <c r="R564" s="31">
        <f t="shared" si="20"/>
        <v>2877.5</v>
      </c>
      <c r="S564" s="31">
        <v>3330</v>
      </c>
    </row>
    <row r="565" spans="1:19" ht="9" customHeight="1" x14ac:dyDescent="0.25">
      <c r="A565" s="5">
        <v>450332</v>
      </c>
      <c r="B565" s="35" t="s">
        <v>477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30">
        <v>2425</v>
      </c>
      <c r="R565" s="30">
        <f t="shared" si="20"/>
        <v>2877.5</v>
      </c>
      <c r="S565" s="30">
        <v>3330</v>
      </c>
    </row>
    <row r="566" spans="1:19" ht="9" customHeight="1" x14ac:dyDescent="0.25">
      <c r="A566" s="8">
        <v>450333</v>
      </c>
      <c r="B566" s="34" t="s">
        <v>478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1">
        <v>2425</v>
      </c>
      <c r="R566" s="31">
        <f t="shared" si="20"/>
        <v>2877.5</v>
      </c>
      <c r="S566" s="31">
        <v>3330</v>
      </c>
    </row>
    <row r="567" spans="1:19" ht="9" customHeight="1" x14ac:dyDescent="0.25">
      <c r="A567" s="5">
        <v>450334</v>
      </c>
      <c r="B567" s="35" t="s">
        <v>479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30">
        <v>2425</v>
      </c>
      <c r="R567" s="30">
        <f t="shared" si="20"/>
        <v>2877.5</v>
      </c>
      <c r="S567" s="30">
        <v>3330</v>
      </c>
    </row>
    <row r="568" spans="1:19" ht="9" customHeight="1" x14ac:dyDescent="0.25">
      <c r="A568" s="8">
        <v>450335</v>
      </c>
      <c r="B568" s="34" t="s">
        <v>480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1">
        <v>2425</v>
      </c>
      <c r="R568" s="31">
        <f t="shared" si="20"/>
        <v>2877.5</v>
      </c>
      <c r="S568" s="31">
        <v>3330</v>
      </c>
    </row>
    <row r="569" spans="1:19" ht="9" customHeight="1" x14ac:dyDescent="0.25">
      <c r="A569" s="5">
        <v>450336</v>
      </c>
      <c r="B569" s="35" t="s">
        <v>481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30">
        <v>2425</v>
      </c>
      <c r="R569" s="30">
        <f t="shared" si="20"/>
        <v>2877.5</v>
      </c>
      <c r="S569" s="30">
        <v>3330</v>
      </c>
    </row>
    <row r="570" spans="1:19" ht="9" customHeight="1" x14ac:dyDescent="0.25">
      <c r="A570" s="8">
        <v>450337</v>
      </c>
      <c r="B570" s="34" t="s">
        <v>482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1">
        <v>2425</v>
      </c>
      <c r="R570" s="31">
        <f t="shared" si="20"/>
        <v>2877.5</v>
      </c>
      <c r="S570" s="31">
        <v>3330</v>
      </c>
    </row>
    <row r="571" spans="1:19" ht="9" customHeight="1" x14ac:dyDescent="0.25">
      <c r="A571" s="5">
        <v>450338</v>
      </c>
      <c r="B571" s="35" t="s">
        <v>483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30">
        <v>2425</v>
      </c>
      <c r="R571" s="30">
        <f t="shared" si="20"/>
        <v>2877.5</v>
      </c>
      <c r="S571" s="30">
        <v>3330</v>
      </c>
    </row>
    <row r="572" spans="1:19" ht="9" customHeight="1" x14ac:dyDescent="0.25">
      <c r="A572" s="8">
        <v>450339</v>
      </c>
      <c r="B572" s="34" t="s">
        <v>484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1">
        <v>2425</v>
      </c>
      <c r="R572" s="31">
        <f t="shared" si="20"/>
        <v>2877.5</v>
      </c>
      <c r="S572" s="31">
        <v>3330</v>
      </c>
    </row>
    <row r="573" spans="1:19" ht="9" customHeight="1" x14ac:dyDescent="0.25">
      <c r="A573" s="5">
        <v>450340</v>
      </c>
      <c r="B573" s="35" t="s">
        <v>485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30">
        <v>2425</v>
      </c>
      <c r="R573" s="30">
        <f t="shared" si="20"/>
        <v>2877.5</v>
      </c>
      <c r="S573" s="30">
        <v>3330</v>
      </c>
    </row>
    <row r="574" spans="1:19" ht="8.5500000000000007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40"/>
      <c r="R574" s="40"/>
      <c r="S574" s="40"/>
    </row>
    <row r="575" spans="1:19" ht="9" customHeight="1" x14ac:dyDescent="0.25">
      <c r="A575" s="7"/>
      <c r="B575" s="16" t="s">
        <v>372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41"/>
      <c r="R575" s="41"/>
      <c r="S575" s="41"/>
    </row>
    <row r="576" spans="1:19" ht="9" customHeight="1" x14ac:dyDescent="0.25">
      <c r="A576" s="8">
        <v>450355</v>
      </c>
      <c r="B576" s="33" t="s">
        <v>491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1">
        <v>1880</v>
      </c>
      <c r="R576" s="31">
        <f t="shared" ref="R576:R584" si="21">((S576-Q576)/2)+Q576</f>
        <v>2232.5</v>
      </c>
      <c r="S576" s="31">
        <v>2585</v>
      </c>
    </row>
    <row r="577" spans="1:19" ht="9" customHeight="1" x14ac:dyDescent="0.25">
      <c r="A577" s="5">
        <v>450356</v>
      </c>
      <c r="B577" s="6" t="s">
        <v>374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30">
        <v>1880</v>
      </c>
      <c r="R577" s="30">
        <f t="shared" si="21"/>
        <v>2232.5</v>
      </c>
      <c r="S577" s="30">
        <v>2585</v>
      </c>
    </row>
    <row r="578" spans="1:19" ht="9" customHeight="1" x14ac:dyDescent="0.25">
      <c r="A578" s="8">
        <v>450359</v>
      </c>
      <c r="B578" s="9" t="s">
        <v>375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1">
        <v>2205</v>
      </c>
      <c r="R578" s="31">
        <f t="shared" si="21"/>
        <v>1254</v>
      </c>
      <c r="S578" s="31">
        <v>303</v>
      </c>
    </row>
    <row r="579" spans="1:19" ht="9" customHeight="1" x14ac:dyDescent="0.25">
      <c r="A579" s="5">
        <v>450360</v>
      </c>
      <c r="B579" s="6" t="s">
        <v>376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30">
        <v>2205</v>
      </c>
      <c r="R579" s="30">
        <f t="shared" si="21"/>
        <v>1254</v>
      </c>
      <c r="S579" s="30">
        <v>303</v>
      </c>
    </row>
    <row r="580" spans="1:19" ht="9" customHeight="1" x14ac:dyDescent="0.25">
      <c r="A580" s="8">
        <v>450361</v>
      </c>
      <c r="B580" s="9" t="s">
        <v>377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1">
        <v>430</v>
      </c>
      <c r="R580" s="31">
        <f t="shared" si="21"/>
        <v>507.5</v>
      </c>
      <c r="S580" s="31">
        <v>585</v>
      </c>
    </row>
    <row r="581" spans="1:19" ht="9" customHeight="1" x14ac:dyDescent="0.25">
      <c r="A581" s="5">
        <v>450363</v>
      </c>
      <c r="B581" s="6" t="s">
        <v>378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30">
        <v>1010</v>
      </c>
      <c r="R581" s="30">
        <f t="shared" si="21"/>
        <v>1195</v>
      </c>
      <c r="S581" s="30">
        <v>1380</v>
      </c>
    </row>
    <row r="582" spans="1:19" ht="9" customHeight="1" x14ac:dyDescent="0.25">
      <c r="A582" s="8">
        <v>450364</v>
      </c>
      <c r="B582" s="9" t="s">
        <v>379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1">
        <v>515</v>
      </c>
      <c r="R582" s="31">
        <f t="shared" si="21"/>
        <v>607.5</v>
      </c>
      <c r="S582" s="31">
        <v>700</v>
      </c>
    </row>
    <row r="583" spans="1:19" ht="9" customHeight="1" x14ac:dyDescent="0.25">
      <c r="A583" s="5">
        <v>450503</v>
      </c>
      <c r="B583" s="6" t="s">
        <v>380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30">
        <v>2125</v>
      </c>
      <c r="R583" s="30">
        <f t="shared" si="21"/>
        <v>2520</v>
      </c>
      <c r="S583" s="30">
        <v>2915</v>
      </c>
    </row>
    <row r="584" spans="1:19" ht="9" customHeight="1" x14ac:dyDescent="0.25">
      <c r="A584" s="8">
        <v>450362</v>
      </c>
      <c r="B584" s="9" t="s">
        <v>381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1">
        <v>280</v>
      </c>
      <c r="R584" s="31">
        <f t="shared" si="21"/>
        <v>330</v>
      </c>
      <c r="S584" s="31">
        <v>380</v>
      </c>
    </row>
    <row r="585" spans="1:19" ht="8.5500000000000007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41"/>
      <c r="R585" s="41"/>
      <c r="S585" s="41"/>
    </row>
    <row r="586" spans="1:19" ht="9" customHeight="1" x14ac:dyDescent="0.25">
      <c r="A586" s="3"/>
      <c r="B586" s="4" t="s">
        <v>382</v>
      </c>
      <c r="C586" s="4" t="s">
        <v>121</v>
      </c>
      <c r="D586" s="4" t="s">
        <v>195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40"/>
      <c r="R586" s="40"/>
      <c r="S586" s="40"/>
    </row>
    <row r="587" spans="1:19" ht="9" customHeight="1" x14ac:dyDescent="0.25">
      <c r="A587" s="5">
        <v>450744</v>
      </c>
      <c r="B587" s="6" t="s">
        <v>251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30">
        <v>2820</v>
      </c>
      <c r="R587" s="30">
        <f>((S587-Q587)/2)+Q587</f>
        <v>3327.5</v>
      </c>
      <c r="S587" s="30">
        <v>3835</v>
      </c>
    </row>
    <row r="588" spans="1:19" ht="9" customHeight="1" x14ac:dyDescent="0.25">
      <c r="A588" s="8">
        <v>450561</v>
      </c>
      <c r="B588" s="9" t="s">
        <v>383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1">
        <v>940</v>
      </c>
      <c r="R588" s="31">
        <f>((S588-Q588)/2)+Q588</f>
        <v>1115</v>
      </c>
      <c r="S588" s="31">
        <v>1290</v>
      </c>
    </row>
    <row r="589" spans="1:19" ht="9" customHeight="1" x14ac:dyDescent="0.25">
      <c r="A589" s="5">
        <v>450713</v>
      </c>
      <c r="B589" s="6" t="s">
        <v>384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30">
        <v>115</v>
      </c>
      <c r="R589" s="30">
        <f>((S589-Q589)/2)+Q589</f>
        <v>135</v>
      </c>
      <c r="S589" s="30">
        <v>155</v>
      </c>
    </row>
    <row r="590" spans="1:19" ht="8.5500000000000007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40"/>
      <c r="R590" s="40"/>
      <c r="S590" s="40"/>
    </row>
    <row r="591" spans="1:19" ht="9" customHeight="1" x14ac:dyDescent="0.25">
      <c r="A591" s="7"/>
      <c r="B591" s="16" t="s">
        <v>385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41"/>
      <c r="R591" s="41"/>
      <c r="S591" s="41"/>
    </row>
    <row r="592" spans="1:19" ht="9" customHeight="1" x14ac:dyDescent="0.25">
      <c r="A592" s="8">
        <v>450545</v>
      </c>
      <c r="B592" s="9" t="s">
        <v>386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1">
        <v>665</v>
      </c>
      <c r="R592" s="31">
        <f t="shared" ref="R592:R597" si="22">((S592-Q592)/2)+Q592</f>
        <v>787.5</v>
      </c>
      <c r="S592" s="31">
        <v>910</v>
      </c>
    </row>
    <row r="593" spans="1:19" ht="9" customHeight="1" x14ac:dyDescent="0.25">
      <c r="A593" s="5">
        <v>450549</v>
      </c>
      <c r="B593" s="6" t="s">
        <v>387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30">
        <v>2600</v>
      </c>
      <c r="R593" s="30">
        <f t="shared" si="22"/>
        <v>3087.5</v>
      </c>
      <c r="S593" s="30">
        <v>3575</v>
      </c>
    </row>
    <row r="594" spans="1:19" ht="9" customHeight="1" x14ac:dyDescent="0.25">
      <c r="A594" s="8">
        <v>450547</v>
      </c>
      <c r="B594" s="9" t="s">
        <v>388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1">
        <v>5430</v>
      </c>
      <c r="R594" s="31">
        <f t="shared" si="22"/>
        <v>6447.5</v>
      </c>
      <c r="S594" s="31">
        <v>7465</v>
      </c>
    </row>
    <row r="595" spans="1:19" ht="9" customHeight="1" x14ac:dyDescent="0.25">
      <c r="A595" s="5">
        <v>450155</v>
      </c>
      <c r="B595" s="6" t="s">
        <v>486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30">
        <v>605</v>
      </c>
      <c r="R595" s="30">
        <f t="shared" si="22"/>
        <v>720</v>
      </c>
      <c r="S595" s="30">
        <v>835</v>
      </c>
    </row>
    <row r="596" spans="1:19" ht="9" customHeight="1" x14ac:dyDescent="0.25">
      <c r="A596" s="5">
        <v>450726</v>
      </c>
      <c r="B596" s="6" t="s">
        <v>389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30">
        <v>195</v>
      </c>
      <c r="R596" s="30">
        <f t="shared" si="22"/>
        <v>250</v>
      </c>
      <c r="S596" s="30">
        <v>305</v>
      </c>
    </row>
    <row r="597" spans="1:19" ht="9" customHeight="1" x14ac:dyDescent="0.25">
      <c r="A597" s="8">
        <v>450856</v>
      </c>
      <c r="B597" s="9" t="s">
        <v>303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1">
        <v>840</v>
      </c>
      <c r="R597" s="31">
        <f t="shared" si="22"/>
        <v>925</v>
      </c>
      <c r="S597" s="31">
        <v>1010</v>
      </c>
    </row>
    <row r="598" spans="1:19" ht="8.5500000000000007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41"/>
      <c r="R598" s="41"/>
      <c r="S598" s="41"/>
    </row>
    <row r="599" spans="1:19" ht="9" customHeight="1" x14ac:dyDescent="0.25">
      <c r="A599" s="3"/>
      <c r="B599" s="4" t="s">
        <v>390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40"/>
      <c r="R599" s="40"/>
      <c r="S599" s="40"/>
    </row>
    <row r="600" spans="1:19" ht="9" customHeight="1" x14ac:dyDescent="0.25">
      <c r="A600" s="5">
        <v>450546</v>
      </c>
      <c r="B600" s="6" t="s">
        <v>391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30">
        <v>2250</v>
      </c>
      <c r="R600" s="30">
        <f>((S600-Q600)/2)+Q600</f>
        <v>2667.5</v>
      </c>
      <c r="S600" s="30">
        <v>3085</v>
      </c>
    </row>
    <row r="601" spans="1:19" ht="9" customHeight="1" x14ac:dyDescent="0.25">
      <c r="A601" s="8">
        <v>450295</v>
      </c>
      <c r="B601" s="9" t="s">
        <v>50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1">
        <v>3085</v>
      </c>
      <c r="R601" s="31">
        <f>((S601-Q601)/2)+Q601</f>
        <v>3657.5</v>
      </c>
      <c r="S601" s="31">
        <v>4230</v>
      </c>
    </row>
    <row r="602" spans="1:19" ht="8.5500000000000007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41"/>
      <c r="R602" s="41"/>
      <c r="S602" s="41"/>
    </row>
    <row r="603" spans="1:19" ht="9" customHeight="1" x14ac:dyDescent="0.25">
      <c r="A603" s="3"/>
      <c r="B603" s="4" t="s">
        <v>392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40"/>
      <c r="R603" s="40"/>
      <c r="S603" s="40"/>
    </row>
    <row r="604" spans="1:19" ht="9" customHeight="1" x14ac:dyDescent="0.25">
      <c r="A604" s="5">
        <v>450173</v>
      </c>
      <c r="B604" s="6" t="s">
        <v>307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30">
        <v>4310</v>
      </c>
      <c r="R604" s="30">
        <f t="shared" ref="R604:R614" si="23">((S604-Q604)/2)+Q604</f>
        <v>5115</v>
      </c>
      <c r="S604" s="30">
        <v>5920</v>
      </c>
    </row>
    <row r="605" spans="1:19" ht="9" customHeight="1" x14ac:dyDescent="0.25">
      <c r="A605" s="8">
        <v>450162</v>
      </c>
      <c r="B605" s="9" t="s">
        <v>308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1">
        <v>915</v>
      </c>
      <c r="R605" s="31">
        <f t="shared" si="23"/>
        <v>1082.5</v>
      </c>
      <c r="S605" s="31">
        <v>1250</v>
      </c>
    </row>
    <row r="606" spans="1:19" ht="9" customHeight="1" x14ac:dyDescent="0.25">
      <c r="A606" s="5">
        <v>450141</v>
      </c>
      <c r="B606" s="6" t="s">
        <v>78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30">
        <v>525</v>
      </c>
      <c r="R606" s="30">
        <f t="shared" si="23"/>
        <v>625</v>
      </c>
      <c r="S606" s="30">
        <v>725</v>
      </c>
    </row>
    <row r="607" spans="1:19" ht="9" customHeight="1" x14ac:dyDescent="0.25">
      <c r="A607" s="8">
        <v>450372</v>
      </c>
      <c r="B607" s="9" t="s">
        <v>309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1">
        <v>855</v>
      </c>
      <c r="R607" s="31">
        <f t="shared" si="23"/>
        <v>1020</v>
      </c>
      <c r="S607" s="31">
        <v>1185</v>
      </c>
    </row>
    <row r="608" spans="1:19" ht="9" customHeight="1" x14ac:dyDescent="0.25">
      <c r="A608" s="5">
        <v>450165</v>
      </c>
      <c r="B608" s="6" t="s">
        <v>310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30">
        <v>345</v>
      </c>
      <c r="R608" s="30">
        <f t="shared" si="23"/>
        <v>407.5</v>
      </c>
      <c r="S608" s="30">
        <v>470</v>
      </c>
    </row>
    <row r="609" spans="1:19" ht="9" customHeight="1" x14ac:dyDescent="0.25">
      <c r="A609" s="8">
        <v>450139</v>
      </c>
      <c r="B609" s="9" t="s">
        <v>76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1">
        <v>55</v>
      </c>
      <c r="R609" s="31">
        <f t="shared" si="23"/>
        <v>62.5</v>
      </c>
      <c r="S609" s="31">
        <v>70</v>
      </c>
    </row>
    <row r="610" spans="1:19" ht="9" customHeight="1" x14ac:dyDescent="0.25">
      <c r="A610" s="5">
        <v>450126</v>
      </c>
      <c r="B610" s="6" t="s">
        <v>68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30">
        <v>545</v>
      </c>
      <c r="R610" s="30">
        <f t="shared" si="23"/>
        <v>650</v>
      </c>
      <c r="S610" s="30">
        <v>755</v>
      </c>
    </row>
    <row r="611" spans="1:19" ht="9" customHeight="1" x14ac:dyDescent="0.25">
      <c r="A611" s="8">
        <v>450204</v>
      </c>
      <c r="B611" s="9" t="s">
        <v>311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1">
        <v>305</v>
      </c>
      <c r="R611" s="31">
        <f t="shared" si="23"/>
        <v>362.5</v>
      </c>
      <c r="S611" s="31">
        <v>420</v>
      </c>
    </row>
    <row r="612" spans="1:19" ht="9" customHeight="1" x14ac:dyDescent="0.25">
      <c r="A612" s="5">
        <v>450317</v>
      </c>
      <c r="B612" s="6" t="s">
        <v>393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30">
        <v>325</v>
      </c>
      <c r="R612" s="30">
        <f t="shared" si="23"/>
        <v>385</v>
      </c>
      <c r="S612" s="30">
        <v>445</v>
      </c>
    </row>
    <row r="613" spans="1:19" ht="9" customHeight="1" x14ac:dyDescent="0.25">
      <c r="A613" s="8">
        <v>450696</v>
      </c>
      <c r="B613" s="9" t="s">
        <v>394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1">
        <v>105</v>
      </c>
      <c r="R613" s="31">
        <f t="shared" si="23"/>
        <v>120</v>
      </c>
      <c r="S613" s="31">
        <v>135</v>
      </c>
    </row>
    <row r="614" spans="1:19" ht="9" customHeight="1" x14ac:dyDescent="0.25">
      <c r="A614" s="5">
        <v>450714</v>
      </c>
      <c r="B614" s="6" t="s">
        <v>395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30">
        <v>225</v>
      </c>
      <c r="R614" s="30">
        <f t="shared" si="23"/>
        <v>285</v>
      </c>
      <c r="S614" s="30">
        <v>345</v>
      </c>
    </row>
    <row r="615" spans="1:19" ht="8.5500000000000007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40"/>
      <c r="R615" s="40"/>
      <c r="S615" s="40"/>
    </row>
    <row r="616" spans="1:19" ht="9" customHeight="1" x14ac:dyDescent="0.25">
      <c r="A616" s="7"/>
      <c r="B616" s="16" t="s">
        <v>396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41"/>
      <c r="R616" s="41"/>
      <c r="S616" s="41"/>
    </row>
    <row r="617" spans="1:19" ht="9" customHeight="1" x14ac:dyDescent="0.25">
      <c r="A617" s="8">
        <v>450550</v>
      </c>
      <c r="B617" s="9" t="s">
        <v>397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1">
        <v>2700</v>
      </c>
      <c r="R617" s="31">
        <f t="shared" ref="R617:R637" si="24">((S617-Q617)/2)+Q617</f>
        <v>3200</v>
      </c>
      <c r="S617" s="31">
        <v>3700</v>
      </c>
    </row>
    <row r="618" spans="1:19" ht="9" customHeight="1" x14ac:dyDescent="0.25">
      <c r="A618" s="5">
        <v>450551</v>
      </c>
      <c r="B618" s="6" t="s">
        <v>398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30">
        <v>940</v>
      </c>
      <c r="R618" s="30">
        <f t="shared" si="24"/>
        <v>1120</v>
      </c>
      <c r="S618" s="30">
        <v>1300</v>
      </c>
    </row>
    <row r="619" spans="1:19" ht="9" customHeight="1" x14ac:dyDescent="0.25">
      <c r="A619" s="8">
        <v>450552</v>
      </c>
      <c r="B619" s="9" t="s">
        <v>399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1">
        <v>1145</v>
      </c>
      <c r="R619" s="31">
        <f t="shared" si="24"/>
        <v>1352.5</v>
      </c>
      <c r="S619" s="31">
        <v>1560</v>
      </c>
    </row>
    <row r="620" spans="1:19" ht="9" customHeight="1" x14ac:dyDescent="0.25">
      <c r="A620" s="5">
        <v>450553</v>
      </c>
      <c r="B620" s="6" t="s">
        <v>400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30">
        <v>1165</v>
      </c>
      <c r="R620" s="30">
        <f t="shared" si="24"/>
        <v>1382.5</v>
      </c>
      <c r="S620" s="30">
        <v>1600</v>
      </c>
    </row>
    <row r="621" spans="1:19" ht="9" customHeight="1" x14ac:dyDescent="0.25">
      <c r="A621" s="8">
        <v>450172</v>
      </c>
      <c r="B621" s="9" t="s">
        <v>319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1">
        <v>485</v>
      </c>
      <c r="R621" s="31">
        <f t="shared" si="24"/>
        <v>572.5</v>
      </c>
      <c r="S621" s="31">
        <v>660</v>
      </c>
    </row>
    <row r="622" spans="1:19" ht="9" customHeight="1" x14ac:dyDescent="0.25">
      <c r="A622" s="5">
        <v>450217</v>
      </c>
      <c r="B622" s="6" t="s">
        <v>320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30">
        <v>585</v>
      </c>
      <c r="R622" s="30">
        <f t="shared" si="24"/>
        <v>692.5</v>
      </c>
      <c r="S622" s="30">
        <v>800</v>
      </c>
    </row>
    <row r="623" spans="1:19" ht="9" customHeight="1" x14ac:dyDescent="0.25">
      <c r="A623" s="8">
        <v>450256</v>
      </c>
      <c r="B623" s="9" t="s">
        <v>326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1">
        <v>135</v>
      </c>
      <c r="R623" s="31">
        <f t="shared" si="24"/>
        <v>160</v>
      </c>
      <c r="S623" s="31">
        <v>185</v>
      </c>
    </row>
    <row r="624" spans="1:19" ht="9" customHeight="1" x14ac:dyDescent="0.25">
      <c r="A624" s="5">
        <v>450257</v>
      </c>
      <c r="B624" s="6" t="s">
        <v>327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30">
        <v>105</v>
      </c>
      <c r="R624" s="30">
        <f t="shared" si="24"/>
        <v>125</v>
      </c>
      <c r="S624" s="30">
        <v>145</v>
      </c>
    </row>
    <row r="625" spans="1:19" ht="9" customHeight="1" x14ac:dyDescent="0.25">
      <c r="A625" s="8">
        <v>450179</v>
      </c>
      <c r="B625" s="9" t="s">
        <v>328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1">
        <v>975</v>
      </c>
      <c r="R625" s="31">
        <f t="shared" si="24"/>
        <v>1152.5</v>
      </c>
      <c r="S625" s="31">
        <v>1330</v>
      </c>
    </row>
    <row r="626" spans="1:19" ht="9" customHeight="1" x14ac:dyDescent="0.25">
      <c r="A626" s="5">
        <v>450648</v>
      </c>
      <c r="B626" s="6" t="s">
        <v>401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30">
        <v>665</v>
      </c>
      <c r="R626" s="30">
        <f t="shared" si="24"/>
        <v>780</v>
      </c>
      <c r="S626" s="30">
        <v>895</v>
      </c>
    </row>
    <row r="627" spans="1:19" ht="9" customHeight="1" x14ac:dyDescent="0.25">
      <c r="A627" s="8">
        <v>452014</v>
      </c>
      <c r="B627" s="9" t="s">
        <v>402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1">
        <v>150</v>
      </c>
      <c r="R627" s="31">
        <f t="shared" si="24"/>
        <v>177.5</v>
      </c>
      <c r="S627" s="31">
        <v>205</v>
      </c>
    </row>
    <row r="628" spans="1:19" ht="9" customHeight="1" x14ac:dyDescent="0.25">
      <c r="A628" s="5">
        <v>450703</v>
      </c>
      <c r="B628" s="6" t="s">
        <v>403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30">
        <v>480</v>
      </c>
      <c r="R628" s="30">
        <f t="shared" si="24"/>
        <v>560</v>
      </c>
      <c r="S628" s="30">
        <v>640</v>
      </c>
    </row>
    <row r="629" spans="1:19" ht="9" customHeight="1" x14ac:dyDescent="0.25">
      <c r="A629" s="8">
        <v>450704</v>
      </c>
      <c r="B629" s="9" t="s">
        <v>404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1">
        <v>500</v>
      </c>
      <c r="R629" s="31">
        <f t="shared" si="24"/>
        <v>587.5</v>
      </c>
      <c r="S629" s="31">
        <v>675</v>
      </c>
    </row>
    <row r="630" spans="1:19" ht="9" customHeight="1" x14ac:dyDescent="0.25">
      <c r="A630" s="5">
        <v>450705</v>
      </c>
      <c r="B630" s="6" t="s">
        <v>405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30">
        <v>45</v>
      </c>
      <c r="R630" s="30">
        <f t="shared" si="24"/>
        <v>50</v>
      </c>
      <c r="S630" s="30">
        <v>55</v>
      </c>
    </row>
    <row r="631" spans="1:19" ht="9" customHeight="1" x14ac:dyDescent="0.25">
      <c r="A631" s="8">
        <v>450653</v>
      </c>
      <c r="B631" s="9" t="s">
        <v>406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1">
        <v>25</v>
      </c>
      <c r="R631" s="31">
        <f t="shared" si="24"/>
        <v>30</v>
      </c>
      <c r="S631" s="31">
        <v>35</v>
      </c>
    </row>
    <row r="632" spans="1:19" ht="9" customHeight="1" x14ac:dyDescent="0.25">
      <c r="A632" s="5">
        <v>450746</v>
      </c>
      <c r="B632" s="6" t="s">
        <v>407</v>
      </c>
      <c r="C632" s="13" t="s">
        <v>8</v>
      </c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30">
        <v>400</v>
      </c>
      <c r="R632" s="30">
        <f t="shared" si="24"/>
        <v>510</v>
      </c>
      <c r="S632" s="30">
        <v>620</v>
      </c>
    </row>
    <row r="633" spans="1:19" ht="9" customHeight="1" x14ac:dyDescent="0.25">
      <c r="A633" s="8">
        <v>450747</v>
      </c>
      <c r="B633" s="9" t="s">
        <v>408</v>
      </c>
      <c r="C633" s="12" t="s">
        <v>8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1">
        <v>400</v>
      </c>
      <c r="R633" s="31">
        <f t="shared" si="24"/>
        <v>510</v>
      </c>
      <c r="S633" s="31">
        <v>620</v>
      </c>
    </row>
    <row r="634" spans="1:19" ht="9" customHeight="1" x14ac:dyDescent="0.25">
      <c r="A634" s="5">
        <v>450748</v>
      </c>
      <c r="B634" s="6" t="s">
        <v>409</v>
      </c>
      <c r="C634" s="13" t="s">
        <v>8</v>
      </c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30">
        <v>400</v>
      </c>
      <c r="R634" s="30">
        <f t="shared" si="24"/>
        <v>510</v>
      </c>
      <c r="S634" s="30">
        <v>620</v>
      </c>
    </row>
    <row r="635" spans="1:19" ht="9" customHeight="1" x14ac:dyDescent="0.25">
      <c r="A635" s="8">
        <v>450749</v>
      </c>
      <c r="B635" s="9" t="s">
        <v>407</v>
      </c>
      <c r="C635" s="12" t="s">
        <v>8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1">
        <v>605</v>
      </c>
      <c r="R635" s="31">
        <f t="shared" si="24"/>
        <v>772.5</v>
      </c>
      <c r="S635" s="31">
        <v>940</v>
      </c>
    </row>
    <row r="636" spans="1:19" ht="9" customHeight="1" x14ac:dyDescent="0.25">
      <c r="A636" s="5">
        <v>450750</v>
      </c>
      <c r="B636" s="6" t="s">
        <v>410</v>
      </c>
      <c r="C636" s="13" t="s">
        <v>8</v>
      </c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30">
        <v>605</v>
      </c>
      <c r="R636" s="30">
        <f t="shared" si="24"/>
        <v>772.5</v>
      </c>
      <c r="S636" s="30">
        <v>940</v>
      </c>
    </row>
    <row r="637" spans="1:19" ht="9" customHeight="1" x14ac:dyDescent="0.25">
      <c r="A637" s="8">
        <v>450751</v>
      </c>
      <c r="B637" s="9" t="s">
        <v>411</v>
      </c>
      <c r="C637" s="12" t="s">
        <v>8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1">
        <v>605</v>
      </c>
      <c r="R637" s="31">
        <f t="shared" si="24"/>
        <v>772.5</v>
      </c>
      <c r="S637" s="31">
        <v>940</v>
      </c>
    </row>
    <row r="638" spans="1:19" ht="8.5500000000000007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41"/>
      <c r="R638" s="41"/>
      <c r="S638" s="41"/>
    </row>
    <row r="639" spans="1:19" ht="9" customHeight="1" x14ac:dyDescent="0.25">
      <c r="A639" s="3"/>
      <c r="B639" s="4" t="s">
        <v>412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40"/>
      <c r="R639" s="40"/>
      <c r="S639" s="40"/>
    </row>
    <row r="640" spans="1:19" ht="9" customHeight="1" x14ac:dyDescent="0.25">
      <c r="A640" s="5">
        <v>450554</v>
      </c>
      <c r="B640" s="6" t="s">
        <v>413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30">
        <v>310</v>
      </c>
      <c r="R640" s="30">
        <f t="shared" ref="R640:R665" si="25">((S640-Q640)/2)+Q640</f>
        <v>367.5</v>
      </c>
      <c r="S640" s="30">
        <v>425</v>
      </c>
    </row>
    <row r="641" spans="1:19" ht="9" customHeight="1" x14ac:dyDescent="0.25">
      <c r="A641" s="8">
        <v>450555</v>
      </c>
      <c r="B641" s="9" t="s">
        <v>414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1">
        <v>935</v>
      </c>
      <c r="R641" s="31">
        <f t="shared" si="25"/>
        <v>1110</v>
      </c>
      <c r="S641" s="31">
        <v>1285</v>
      </c>
    </row>
    <row r="642" spans="1:19" ht="9" customHeight="1" x14ac:dyDescent="0.25">
      <c r="A642" s="5">
        <v>450622</v>
      </c>
      <c r="B642" s="6" t="s">
        <v>415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30">
        <v>950</v>
      </c>
      <c r="R642" s="30">
        <f t="shared" si="25"/>
        <v>1100</v>
      </c>
      <c r="S642" s="30">
        <v>1250</v>
      </c>
    </row>
    <row r="643" spans="1:19" ht="9" customHeight="1" x14ac:dyDescent="0.25">
      <c r="A643" s="8">
        <v>450507</v>
      </c>
      <c r="B643" s="9" t="s">
        <v>358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1">
        <v>480</v>
      </c>
      <c r="R643" s="31">
        <f t="shared" si="25"/>
        <v>557.5</v>
      </c>
      <c r="S643" s="31">
        <v>635</v>
      </c>
    </row>
    <row r="644" spans="1:19" ht="9" customHeight="1" x14ac:dyDescent="0.25">
      <c r="A644" s="5">
        <v>450637</v>
      </c>
      <c r="B644" s="6" t="s">
        <v>416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30">
        <v>2000</v>
      </c>
      <c r="R644" s="30">
        <f t="shared" si="25"/>
        <v>2377.5</v>
      </c>
      <c r="S644" s="30">
        <v>2755</v>
      </c>
    </row>
    <row r="645" spans="1:19" ht="9" customHeight="1" x14ac:dyDescent="0.25">
      <c r="A645" s="8">
        <v>450659</v>
      </c>
      <c r="B645" s="9" t="s">
        <v>417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1">
        <v>405</v>
      </c>
      <c r="R645" s="31">
        <f t="shared" si="25"/>
        <v>482.5</v>
      </c>
      <c r="S645" s="31">
        <v>560</v>
      </c>
    </row>
    <row r="646" spans="1:19" ht="9" customHeight="1" x14ac:dyDescent="0.25">
      <c r="A646" s="5">
        <v>450660</v>
      </c>
      <c r="B646" s="6" t="s">
        <v>418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30">
        <v>420</v>
      </c>
      <c r="R646" s="30">
        <f t="shared" si="25"/>
        <v>497.5</v>
      </c>
      <c r="S646" s="30">
        <v>575</v>
      </c>
    </row>
    <row r="647" spans="1:19" ht="9" customHeight="1" x14ac:dyDescent="0.25">
      <c r="A647" s="8">
        <v>450612</v>
      </c>
      <c r="B647" s="9" t="s">
        <v>101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1">
        <v>50</v>
      </c>
      <c r="R647" s="31">
        <f t="shared" si="25"/>
        <v>60</v>
      </c>
      <c r="S647" s="31">
        <v>70</v>
      </c>
    </row>
    <row r="648" spans="1:19" ht="9" customHeight="1" x14ac:dyDescent="0.25">
      <c r="A648" s="5">
        <v>450644</v>
      </c>
      <c r="B648" s="6" t="s">
        <v>419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30">
        <v>85</v>
      </c>
      <c r="R648" s="30">
        <f t="shared" si="25"/>
        <v>97.5</v>
      </c>
      <c r="S648" s="30">
        <v>110</v>
      </c>
    </row>
    <row r="649" spans="1:19" ht="9" customHeight="1" x14ac:dyDescent="0.25">
      <c r="A649" s="8">
        <v>450663</v>
      </c>
      <c r="B649" s="9" t="s">
        <v>105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1">
        <v>125</v>
      </c>
      <c r="R649" s="31">
        <f t="shared" si="25"/>
        <v>147.5</v>
      </c>
      <c r="S649" s="31">
        <v>170</v>
      </c>
    </row>
    <row r="650" spans="1:19" ht="9" customHeight="1" x14ac:dyDescent="0.25">
      <c r="A650" s="5">
        <v>452015</v>
      </c>
      <c r="B650" s="6" t="s">
        <v>420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30">
        <v>245</v>
      </c>
      <c r="R650" s="30">
        <f t="shared" si="25"/>
        <v>275</v>
      </c>
      <c r="S650" s="30">
        <v>305</v>
      </c>
    </row>
    <row r="651" spans="1:19" ht="9" customHeight="1" x14ac:dyDescent="0.25">
      <c r="A651" s="8">
        <v>450664</v>
      </c>
      <c r="B651" s="9" t="s">
        <v>421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1">
        <v>30</v>
      </c>
      <c r="R651" s="31">
        <f t="shared" si="25"/>
        <v>32.5</v>
      </c>
      <c r="S651" s="31">
        <v>35</v>
      </c>
    </row>
    <row r="652" spans="1:19" ht="9" customHeight="1" x14ac:dyDescent="0.25">
      <c r="A652" s="5">
        <v>450669</v>
      </c>
      <c r="B652" s="6" t="s">
        <v>422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30">
        <v>515</v>
      </c>
      <c r="R652" s="30">
        <f t="shared" si="25"/>
        <v>600</v>
      </c>
      <c r="S652" s="30">
        <v>685</v>
      </c>
    </row>
    <row r="653" spans="1:19" ht="9" customHeight="1" x14ac:dyDescent="0.25">
      <c r="A653" s="8">
        <v>450708</v>
      </c>
      <c r="B653" s="9" t="s">
        <v>423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1">
        <v>660</v>
      </c>
      <c r="R653" s="31">
        <f t="shared" si="25"/>
        <v>775</v>
      </c>
      <c r="S653" s="31">
        <v>890</v>
      </c>
    </row>
    <row r="654" spans="1:19" ht="9" customHeight="1" x14ac:dyDescent="0.25">
      <c r="A654" s="5">
        <v>450321</v>
      </c>
      <c r="B654" s="6" t="s">
        <v>235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30">
        <v>695</v>
      </c>
      <c r="R654" s="30">
        <f t="shared" si="25"/>
        <v>822.5</v>
      </c>
      <c r="S654" s="30">
        <v>950</v>
      </c>
    </row>
    <row r="655" spans="1:19" ht="9" customHeight="1" x14ac:dyDescent="0.25">
      <c r="A655" s="8">
        <v>450718</v>
      </c>
      <c r="B655" s="9" t="s">
        <v>424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1">
        <v>270</v>
      </c>
      <c r="R655" s="31">
        <f t="shared" si="25"/>
        <v>345</v>
      </c>
      <c r="S655" s="31">
        <v>420</v>
      </c>
    </row>
    <row r="656" spans="1:19" ht="9" customHeight="1" x14ac:dyDescent="0.25">
      <c r="A656" s="5">
        <v>450183</v>
      </c>
      <c r="B656" s="6" t="s">
        <v>179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30">
        <v>25</v>
      </c>
      <c r="R656" s="30">
        <f t="shared" si="25"/>
        <v>27.5</v>
      </c>
      <c r="S656" s="30">
        <v>30</v>
      </c>
    </row>
    <row r="657" spans="1:19" ht="9" customHeight="1" x14ac:dyDescent="0.25">
      <c r="A657" s="8">
        <v>450730</v>
      </c>
      <c r="B657" s="9" t="s">
        <v>425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1">
        <v>975</v>
      </c>
      <c r="R657" s="31">
        <f t="shared" si="25"/>
        <v>1237.5</v>
      </c>
      <c r="S657" s="31">
        <v>1500</v>
      </c>
    </row>
    <row r="658" spans="1:19" ht="9" customHeight="1" x14ac:dyDescent="0.25">
      <c r="A658" s="5">
        <v>450728</v>
      </c>
      <c r="B658" s="6" t="s">
        <v>426</v>
      </c>
      <c r="C658" s="7"/>
      <c r="D658" s="13" t="s">
        <v>8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30">
        <v>600</v>
      </c>
      <c r="R658" s="30">
        <f t="shared" si="25"/>
        <v>760</v>
      </c>
      <c r="S658" s="30">
        <v>920</v>
      </c>
    </row>
    <row r="659" spans="1:19" ht="9" customHeight="1" x14ac:dyDescent="0.25">
      <c r="A659" s="8">
        <v>450732</v>
      </c>
      <c r="B659" s="9" t="s">
        <v>112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1">
        <v>330</v>
      </c>
      <c r="R659" s="31">
        <f t="shared" si="25"/>
        <v>417.5</v>
      </c>
      <c r="S659" s="31">
        <v>505</v>
      </c>
    </row>
    <row r="660" spans="1:19" ht="9" customHeight="1" x14ac:dyDescent="0.25">
      <c r="A660" s="5">
        <v>450755</v>
      </c>
      <c r="B660" s="6" t="s">
        <v>427</v>
      </c>
      <c r="C660" s="7"/>
      <c r="D660" s="13" t="s">
        <v>8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30">
        <v>1010</v>
      </c>
      <c r="R660" s="30">
        <f t="shared" si="25"/>
        <v>1277.5</v>
      </c>
      <c r="S660" s="30">
        <v>1545</v>
      </c>
    </row>
    <row r="661" spans="1:19" ht="9" customHeight="1" x14ac:dyDescent="0.25">
      <c r="A661" s="8">
        <v>450756</v>
      </c>
      <c r="B661" s="9" t="s">
        <v>428</v>
      </c>
      <c r="C661" s="12" t="s">
        <v>8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1">
        <v>1010</v>
      </c>
      <c r="R661" s="31">
        <f t="shared" si="25"/>
        <v>1277.5</v>
      </c>
      <c r="S661" s="31">
        <v>1545</v>
      </c>
    </row>
    <row r="662" spans="1:19" ht="9" customHeight="1" x14ac:dyDescent="0.25">
      <c r="A662" s="5">
        <v>450752</v>
      </c>
      <c r="B662" s="6" t="s">
        <v>429</v>
      </c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30">
        <v>235</v>
      </c>
      <c r="R662" s="30">
        <f t="shared" si="25"/>
        <v>300</v>
      </c>
      <c r="S662" s="30">
        <v>365</v>
      </c>
    </row>
    <row r="663" spans="1:19" ht="9" customHeight="1" x14ac:dyDescent="0.25">
      <c r="A663" s="8">
        <v>450753</v>
      </c>
      <c r="B663" s="9" t="s">
        <v>430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1">
        <v>170</v>
      </c>
      <c r="R663" s="31">
        <f t="shared" si="25"/>
        <v>217.5</v>
      </c>
      <c r="S663" s="31">
        <v>265</v>
      </c>
    </row>
    <row r="664" spans="1:19" ht="9" customHeight="1" x14ac:dyDescent="0.25">
      <c r="A664" s="5">
        <v>450754</v>
      </c>
      <c r="B664" s="6" t="s">
        <v>431</v>
      </c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30">
        <v>195</v>
      </c>
      <c r="R664" s="30">
        <f t="shared" si="25"/>
        <v>250</v>
      </c>
      <c r="S664" s="30">
        <v>305</v>
      </c>
    </row>
    <row r="665" spans="1:19" ht="9" customHeight="1" x14ac:dyDescent="0.25">
      <c r="A665" s="8">
        <v>450725</v>
      </c>
      <c r="B665" s="9" t="s">
        <v>432</v>
      </c>
      <c r="C665" s="3"/>
      <c r="D665" s="12" t="s">
        <v>8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1">
        <v>155</v>
      </c>
      <c r="R665" s="31">
        <f t="shared" si="25"/>
        <v>200</v>
      </c>
      <c r="S665" s="31">
        <v>245</v>
      </c>
    </row>
    <row r="666" spans="1:19" ht="8.5500000000000007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41"/>
      <c r="R666" s="41"/>
      <c r="S666" s="41"/>
    </row>
    <row r="667" spans="1:19" ht="9" customHeight="1" x14ac:dyDescent="0.25">
      <c r="A667" s="3"/>
      <c r="B667" s="4" t="s">
        <v>433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40"/>
      <c r="R667" s="40"/>
      <c r="S667" s="40"/>
    </row>
    <row r="668" spans="1:19" ht="9" customHeight="1" x14ac:dyDescent="0.25">
      <c r="A668" s="5">
        <v>450329</v>
      </c>
      <c r="B668" s="35" t="s">
        <v>474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30">
        <v>185</v>
      </c>
      <c r="R668" s="30">
        <f t="shared" ref="R668:R673" si="26">((S668-Q668)/2)+Q668</f>
        <v>217.5</v>
      </c>
      <c r="S668" s="30">
        <v>250</v>
      </c>
    </row>
    <row r="669" spans="1:19" ht="9" customHeight="1" x14ac:dyDescent="0.25">
      <c r="A669" s="8">
        <v>450332</v>
      </c>
      <c r="B669" s="34" t="s">
        <v>477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1">
        <v>2425</v>
      </c>
      <c r="R669" s="31">
        <f t="shared" si="26"/>
        <v>2877.5</v>
      </c>
      <c r="S669" s="31">
        <v>3330</v>
      </c>
    </row>
    <row r="670" spans="1:19" ht="9" customHeight="1" x14ac:dyDescent="0.25">
      <c r="A670" s="5">
        <v>450333</v>
      </c>
      <c r="B670" s="35" t="s">
        <v>478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30">
        <v>2425</v>
      </c>
      <c r="R670" s="30">
        <f t="shared" si="26"/>
        <v>2877.5</v>
      </c>
      <c r="S670" s="30">
        <v>3330</v>
      </c>
    </row>
    <row r="671" spans="1:19" ht="9" customHeight="1" x14ac:dyDescent="0.25">
      <c r="A671" s="8">
        <v>450335</v>
      </c>
      <c r="B671" s="34" t="s">
        <v>480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1">
        <v>2425</v>
      </c>
      <c r="R671" s="31">
        <f t="shared" si="26"/>
        <v>2877.5</v>
      </c>
      <c r="S671" s="31">
        <v>3330</v>
      </c>
    </row>
    <row r="672" spans="1:19" ht="9" customHeight="1" x14ac:dyDescent="0.25">
      <c r="A672" s="5">
        <v>450339</v>
      </c>
      <c r="B672" s="35" t="s">
        <v>484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30">
        <v>2425</v>
      </c>
      <c r="R672" s="30">
        <f t="shared" si="26"/>
        <v>2877.5</v>
      </c>
      <c r="S672" s="30">
        <v>3330</v>
      </c>
    </row>
    <row r="673" spans="1:19" ht="9" customHeight="1" x14ac:dyDescent="0.25">
      <c r="A673" s="8">
        <v>450340</v>
      </c>
      <c r="B673" s="34" t="s">
        <v>485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1">
        <v>2425</v>
      </c>
      <c r="R673" s="31">
        <f t="shared" si="26"/>
        <v>2877.5</v>
      </c>
      <c r="S673" s="31">
        <v>3330</v>
      </c>
    </row>
    <row r="674" spans="1:19" ht="9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41"/>
      <c r="R674" s="41"/>
      <c r="S674" s="41"/>
    </row>
    <row r="675" spans="1:19" ht="9" customHeight="1" x14ac:dyDescent="0.25">
      <c r="A675" s="3"/>
      <c r="B675" s="4" t="s">
        <v>434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40"/>
      <c r="R675" s="40"/>
      <c r="S675" s="40"/>
    </row>
    <row r="676" spans="1:19" ht="9" customHeight="1" x14ac:dyDescent="0.25">
      <c r="A676" s="5">
        <v>450630</v>
      </c>
      <c r="B676" s="6" t="s">
        <v>435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30">
        <v>940</v>
      </c>
      <c r="R676" s="30">
        <f>((S676-Q676)/2)+Q676</f>
        <v>1195</v>
      </c>
      <c r="S676" s="30">
        <v>1450</v>
      </c>
    </row>
    <row r="677" spans="1:19" ht="9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40"/>
      <c r="R677" s="40"/>
      <c r="S677" s="40"/>
    </row>
    <row r="678" spans="1:19" ht="9" customHeight="1" x14ac:dyDescent="0.25">
      <c r="A678" s="7"/>
      <c r="B678" s="16" t="s">
        <v>436</v>
      </c>
      <c r="C678" s="16" t="s">
        <v>121</v>
      </c>
      <c r="D678" s="18">
        <v>2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41"/>
      <c r="R678" s="41"/>
      <c r="S678" s="41"/>
    </row>
    <row r="679" spans="1:19" ht="9" customHeight="1" x14ac:dyDescent="0.25">
      <c r="A679" s="8">
        <v>450151</v>
      </c>
      <c r="B679" s="9" t="s">
        <v>288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1">
        <v>405</v>
      </c>
      <c r="R679" s="31">
        <f t="shared" ref="R679:R682" si="27">((S679-Q679)/2)+Q679</f>
        <v>475</v>
      </c>
      <c r="S679" s="31">
        <v>545</v>
      </c>
    </row>
    <row r="680" spans="1:19" ht="9" customHeight="1" x14ac:dyDescent="0.25">
      <c r="A680" s="5">
        <v>450152</v>
      </c>
      <c r="B680" s="6" t="s">
        <v>289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30">
        <v>615</v>
      </c>
      <c r="R680" s="30">
        <f t="shared" si="27"/>
        <v>725</v>
      </c>
      <c r="S680" s="30">
        <v>835</v>
      </c>
    </row>
    <row r="681" spans="1:19" ht="9" customHeight="1" x14ac:dyDescent="0.25">
      <c r="A681" s="8">
        <v>450567</v>
      </c>
      <c r="B681" s="9" t="s">
        <v>290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1">
        <v>4090</v>
      </c>
      <c r="R681" s="31">
        <f t="shared" si="27"/>
        <v>4852.5</v>
      </c>
      <c r="S681" s="31">
        <v>5615</v>
      </c>
    </row>
    <row r="682" spans="1:19" ht="9" customHeight="1" x14ac:dyDescent="0.25">
      <c r="A682" s="5">
        <v>450690</v>
      </c>
      <c r="B682" s="6" t="s">
        <v>291</v>
      </c>
      <c r="C682" s="7"/>
      <c r="D682" s="13" t="s">
        <v>8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30">
        <v>1215</v>
      </c>
      <c r="R682" s="30">
        <f t="shared" si="27"/>
        <v>1425</v>
      </c>
      <c r="S682" s="30">
        <v>1635</v>
      </c>
    </row>
    <row r="683" spans="1:19" ht="8.5500000000000007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40"/>
      <c r="R683" s="40"/>
      <c r="S683" s="40"/>
    </row>
    <row r="684" spans="1:19" ht="9" customHeight="1" x14ac:dyDescent="0.25">
      <c r="A684" s="7"/>
      <c r="B684" s="16" t="s">
        <v>437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41"/>
      <c r="R684" s="41"/>
      <c r="S684" s="41"/>
    </row>
    <row r="685" spans="1:19" ht="9" customHeight="1" x14ac:dyDescent="0.25">
      <c r="A685" s="8">
        <v>450154</v>
      </c>
      <c r="B685" s="9" t="s">
        <v>293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1">
        <v>675</v>
      </c>
      <c r="R685" s="31">
        <f t="shared" ref="R685:R694" si="28">((S685-Q685)/2)+Q685</f>
        <v>802.5</v>
      </c>
      <c r="S685" s="31">
        <v>930</v>
      </c>
    </row>
    <row r="686" spans="1:19" ht="9" customHeight="1" x14ac:dyDescent="0.25">
      <c r="A686" s="5">
        <v>450224</v>
      </c>
      <c r="B686" s="6" t="s">
        <v>38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30">
        <v>1065</v>
      </c>
      <c r="R686" s="30">
        <f t="shared" si="28"/>
        <v>1265</v>
      </c>
      <c r="S686" s="30">
        <v>1465</v>
      </c>
    </row>
    <row r="687" spans="1:19" ht="9" customHeight="1" x14ac:dyDescent="0.25">
      <c r="A687" s="8">
        <v>450156</v>
      </c>
      <c r="B687" s="9" t="s">
        <v>294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1">
        <v>340</v>
      </c>
      <c r="R687" s="31">
        <f t="shared" si="28"/>
        <v>400</v>
      </c>
      <c r="S687" s="31">
        <v>460</v>
      </c>
    </row>
    <row r="688" spans="1:19" ht="9" customHeight="1" x14ac:dyDescent="0.25">
      <c r="A688" s="5">
        <v>450157</v>
      </c>
      <c r="B688" s="6" t="s">
        <v>295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30">
        <v>115</v>
      </c>
      <c r="R688" s="30">
        <f t="shared" si="28"/>
        <v>135</v>
      </c>
      <c r="S688" s="30">
        <v>155</v>
      </c>
    </row>
    <row r="689" spans="1:19" ht="9" customHeight="1" x14ac:dyDescent="0.25">
      <c r="A689" s="8">
        <v>450260</v>
      </c>
      <c r="B689" s="9" t="s">
        <v>438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1">
        <v>4645</v>
      </c>
      <c r="R689" s="31">
        <f t="shared" si="28"/>
        <v>5512.5</v>
      </c>
      <c r="S689" s="31">
        <v>6380</v>
      </c>
    </row>
    <row r="690" spans="1:19" ht="9" customHeight="1" x14ac:dyDescent="0.25">
      <c r="A690" s="5">
        <v>450261</v>
      </c>
      <c r="B690" s="6" t="s">
        <v>439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30">
        <v>4645</v>
      </c>
      <c r="R690" s="30">
        <f t="shared" si="28"/>
        <v>5512.5</v>
      </c>
      <c r="S690" s="30">
        <v>6380</v>
      </c>
    </row>
    <row r="691" spans="1:19" ht="9" customHeight="1" x14ac:dyDescent="0.25">
      <c r="A691" s="8">
        <v>450243</v>
      </c>
      <c r="B691" s="9" t="s">
        <v>299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1">
        <v>2790</v>
      </c>
      <c r="R691" s="31">
        <f t="shared" si="28"/>
        <v>3310</v>
      </c>
      <c r="S691" s="31">
        <v>3830</v>
      </c>
    </row>
    <row r="692" spans="1:19" ht="9" customHeight="1" x14ac:dyDescent="0.25">
      <c r="A692" s="5">
        <v>450543</v>
      </c>
      <c r="B692" s="6" t="s">
        <v>301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30">
        <v>30</v>
      </c>
      <c r="R692" s="30">
        <f t="shared" si="28"/>
        <v>37.5</v>
      </c>
      <c r="S692" s="30">
        <v>45</v>
      </c>
    </row>
    <row r="693" spans="1:19" ht="9" customHeight="1" x14ac:dyDescent="0.25">
      <c r="A693" s="8">
        <v>450734</v>
      </c>
      <c r="B693" s="9" t="s">
        <v>302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1">
        <v>600</v>
      </c>
      <c r="R693" s="31">
        <f t="shared" si="28"/>
        <v>760</v>
      </c>
      <c r="S693" s="31">
        <v>920</v>
      </c>
    </row>
    <row r="694" spans="1:19" ht="9" customHeight="1" x14ac:dyDescent="0.25">
      <c r="A694" s="5">
        <v>450857</v>
      </c>
      <c r="B694" s="6" t="s">
        <v>440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30">
        <v>1390</v>
      </c>
      <c r="R694" s="30">
        <f t="shared" si="28"/>
        <v>1527.5</v>
      </c>
      <c r="S694" s="30">
        <v>1665</v>
      </c>
    </row>
    <row r="695" spans="1:19" ht="8.5500000000000007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40"/>
      <c r="R695" s="40"/>
      <c r="S695" s="40"/>
    </row>
    <row r="696" spans="1:19" ht="9" customHeight="1" x14ac:dyDescent="0.25">
      <c r="A696" s="7"/>
      <c r="B696" s="16" t="s">
        <v>441</v>
      </c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41"/>
      <c r="R696" s="41"/>
      <c r="S696" s="41"/>
    </row>
    <row r="697" spans="1:19" ht="9" customHeight="1" x14ac:dyDescent="0.25">
      <c r="A697" s="8">
        <v>450158</v>
      </c>
      <c r="B697" s="9" t="s">
        <v>305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1">
        <v>2895</v>
      </c>
      <c r="R697" s="31">
        <f t="shared" ref="R697:R698" si="29">((S697-Q697)/2)+Q697</f>
        <v>3435</v>
      </c>
      <c r="S697" s="31">
        <v>3975</v>
      </c>
    </row>
    <row r="698" spans="1:19" ht="9" customHeight="1" x14ac:dyDescent="0.25">
      <c r="A698" s="5">
        <v>450295</v>
      </c>
      <c r="B698" s="6" t="s">
        <v>50</v>
      </c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30">
        <v>3085</v>
      </c>
      <c r="R698" s="30">
        <f t="shared" si="29"/>
        <v>3657.5</v>
      </c>
      <c r="S698" s="30">
        <v>4230</v>
      </c>
    </row>
    <row r="699" spans="1:19" ht="9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40"/>
      <c r="R699" s="40"/>
      <c r="S699" s="40"/>
    </row>
    <row r="700" spans="1:19" ht="9" customHeight="1" x14ac:dyDescent="0.25">
      <c r="A700" s="7"/>
      <c r="B700" s="16" t="s">
        <v>442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41"/>
      <c r="R700" s="41"/>
      <c r="S700" s="41"/>
    </row>
    <row r="701" spans="1:19" ht="9" customHeight="1" x14ac:dyDescent="0.25">
      <c r="A701" s="8">
        <v>450174</v>
      </c>
      <c r="B701" s="9" t="s">
        <v>312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1">
        <v>290</v>
      </c>
      <c r="R701" s="31">
        <f t="shared" ref="R701:R710" si="30">((S701-Q701)/2)+Q701</f>
        <v>340</v>
      </c>
      <c r="S701" s="31">
        <v>390</v>
      </c>
    </row>
    <row r="702" spans="1:19" ht="9" customHeight="1" x14ac:dyDescent="0.25">
      <c r="A702" s="5">
        <v>450173</v>
      </c>
      <c r="B702" s="6" t="s">
        <v>307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30">
        <v>4310</v>
      </c>
      <c r="R702" s="30">
        <f t="shared" si="30"/>
        <v>5115</v>
      </c>
      <c r="S702" s="30">
        <v>5920</v>
      </c>
    </row>
    <row r="703" spans="1:19" ht="9" customHeight="1" x14ac:dyDescent="0.25">
      <c r="A703" s="8">
        <v>450162</v>
      </c>
      <c r="B703" s="9" t="s">
        <v>308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1">
        <v>915</v>
      </c>
      <c r="R703" s="31">
        <f t="shared" si="30"/>
        <v>1082.5</v>
      </c>
      <c r="S703" s="31">
        <v>1250</v>
      </c>
    </row>
    <row r="704" spans="1:19" ht="9" customHeight="1" x14ac:dyDescent="0.25">
      <c r="A704" s="5">
        <v>450141</v>
      </c>
      <c r="B704" s="6" t="s">
        <v>78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30">
        <v>525</v>
      </c>
      <c r="R704" s="30">
        <f t="shared" si="30"/>
        <v>625</v>
      </c>
      <c r="S704" s="30">
        <v>725</v>
      </c>
    </row>
    <row r="705" spans="1:19" ht="9" customHeight="1" x14ac:dyDescent="0.25">
      <c r="A705" s="8">
        <v>450372</v>
      </c>
      <c r="B705" s="9" t="s">
        <v>309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1">
        <v>855</v>
      </c>
      <c r="R705" s="31">
        <f t="shared" si="30"/>
        <v>1020</v>
      </c>
      <c r="S705" s="31">
        <v>1185</v>
      </c>
    </row>
    <row r="706" spans="1:19" ht="9" customHeight="1" x14ac:dyDescent="0.25">
      <c r="A706" s="5">
        <v>450165</v>
      </c>
      <c r="B706" s="6" t="s">
        <v>310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30">
        <v>345</v>
      </c>
      <c r="R706" s="30">
        <f t="shared" si="30"/>
        <v>407.5</v>
      </c>
      <c r="S706" s="30">
        <v>470</v>
      </c>
    </row>
    <row r="707" spans="1:19" ht="9" customHeight="1" x14ac:dyDescent="0.25">
      <c r="A707" s="8">
        <v>450139</v>
      </c>
      <c r="B707" s="9" t="s">
        <v>76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1">
        <v>55</v>
      </c>
      <c r="R707" s="31">
        <f t="shared" si="30"/>
        <v>62.5</v>
      </c>
      <c r="S707" s="31">
        <v>70</v>
      </c>
    </row>
    <row r="708" spans="1:19" ht="9" customHeight="1" x14ac:dyDescent="0.25">
      <c r="A708" s="5">
        <v>450126</v>
      </c>
      <c r="B708" s="6" t="s">
        <v>68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30">
        <v>545</v>
      </c>
      <c r="R708" s="30">
        <f t="shared" si="30"/>
        <v>650</v>
      </c>
      <c r="S708" s="30">
        <v>755</v>
      </c>
    </row>
    <row r="709" spans="1:19" ht="9" customHeight="1" x14ac:dyDescent="0.25">
      <c r="A709" s="8">
        <v>450204</v>
      </c>
      <c r="B709" s="9" t="s">
        <v>311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1">
        <v>305</v>
      </c>
      <c r="R709" s="31">
        <f t="shared" si="30"/>
        <v>362.5</v>
      </c>
      <c r="S709" s="31">
        <v>420</v>
      </c>
    </row>
    <row r="710" spans="1:19" ht="9" customHeight="1" x14ac:dyDescent="0.25">
      <c r="A710" s="5">
        <v>450614</v>
      </c>
      <c r="B710" s="6" t="s">
        <v>240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30">
        <v>270</v>
      </c>
      <c r="R710" s="30">
        <f t="shared" si="30"/>
        <v>320</v>
      </c>
      <c r="S710" s="30">
        <v>370</v>
      </c>
    </row>
    <row r="711" spans="1:19" ht="8.5500000000000007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40"/>
      <c r="R711" s="40"/>
      <c r="S711" s="40"/>
    </row>
    <row r="712" spans="1:19" ht="9" customHeight="1" x14ac:dyDescent="0.25">
      <c r="A712" s="7"/>
      <c r="B712" s="16" t="s">
        <v>443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41"/>
      <c r="R712" s="41"/>
      <c r="S712" s="41"/>
    </row>
    <row r="713" spans="1:19" ht="9" customHeight="1" x14ac:dyDescent="0.25">
      <c r="A713" s="8">
        <v>450167</v>
      </c>
      <c r="B713" s="9" t="s">
        <v>314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1">
        <v>3090</v>
      </c>
      <c r="R713" s="31">
        <f t="shared" ref="R713:R731" si="31">((S713-Q713)/2)+Q713</f>
        <v>3662.5</v>
      </c>
      <c r="S713" s="31">
        <v>4235</v>
      </c>
    </row>
    <row r="714" spans="1:19" ht="9" customHeight="1" x14ac:dyDescent="0.25">
      <c r="A714" s="5">
        <v>450187</v>
      </c>
      <c r="B714" s="6" t="s">
        <v>321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30">
        <v>115</v>
      </c>
      <c r="R714" s="30">
        <f t="shared" si="31"/>
        <v>140</v>
      </c>
      <c r="S714" s="30">
        <v>165</v>
      </c>
    </row>
    <row r="715" spans="1:19" ht="9" customHeight="1" x14ac:dyDescent="0.25">
      <c r="A715" s="8">
        <v>450186</v>
      </c>
      <c r="B715" s="9" t="s">
        <v>322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1">
        <v>125</v>
      </c>
      <c r="R715" s="31">
        <f t="shared" si="31"/>
        <v>145</v>
      </c>
      <c r="S715" s="31">
        <v>165</v>
      </c>
    </row>
    <row r="716" spans="1:19" ht="9" customHeight="1" x14ac:dyDescent="0.25">
      <c r="A716" s="5">
        <v>450227</v>
      </c>
      <c r="B716" s="6" t="s">
        <v>315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30">
        <v>1090</v>
      </c>
      <c r="R716" s="30">
        <f t="shared" si="31"/>
        <v>1295</v>
      </c>
      <c r="S716" s="30">
        <v>1500</v>
      </c>
    </row>
    <row r="717" spans="1:19" ht="9" customHeight="1" x14ac:dyDescent="0.25">
      <c r="A717" s="8">
        <v>450228</v>
      </c>
      <c r="B717" s="9" t="s">
        <v>316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1">
        <v>1135</v>
      </c>
      <c r="R717" s="31">
        <f t="shared" si="31"/>
        <v>1345</v>
      </c>
      <c r="S717" s="31">
        <v>1555</v>
      </c>
    </row>
    <row r="718" spans="1:19" ht="9" customHeight="1" x14ac:dyDescent="0.25">
      <c r="A718" s="5">
        <v>450229</v>
      </c>
      <c r="B718" s="6" t="s">
        <v>317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30">
        <v>1090</v>
      </c>
      <c r="R718" s="30">
        <f t="shared" si="31"/>
        <v>1295</v>
      </c>
      <c r="S718" s="30">
        <v>1500</v>
      </c>
    </row>
    <row r="719" spans="1:19" ht="9" customHeight="1" x14ac:dyDescent="0.25">
      <c r="A719" s="8">
        <v>450171</v>
      </c>
      <c r="B719" s="9" t="s">
        <v>318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1">
        <v>800</v>
      </c>
      <c r="R719" s="31">
        <f t="shared" si="31"/>
        <v>952.5</v>
      </c>
      <c r="S719" s="31">
        <v>1105</v>
      </c>
    </row>
    <row r="720" spans="1:19" ht="9" customHeight="1" x14ac:dyDescent="0.25">
      <c r="A720" s="5">
        <v>450172</v>
      </c>
      <c r="B720" s="6" t="s">
        <v>319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30">
        <v>485</v>
      </c>
      <c r="R720" s="30">
        <f t="shared" si="31"/>
        <v>572.5</v>
      </c>
      <c r="S720" s="30">
        <v>660</v>
      </c>
    </row>
    <row r="721" spans="1:19" ht="9" customHeight="1" x14ac:dyDescent="0.25">
      <c r="A721" s="8">
        <v>450217</v>
      </c>
      <c r="B721" s="9" t="s">
        <v>320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1">
        <v>585</v>
      </c>
      <c r="R721" s="31">
        <f t="shared" si="31"/>
        <v>692.5</v>
      </c>
      <c r="S721" s="31">
        <v>800</v>
      </c>
    </row>
    <row r="722" spans="1:19" ht="9" customHeight="1" x14ac:dyDescent="0.25">
      <c r="A722" s="5">
        <v>450256</v>
      </c>
      <c r="B722" s="6" t="s">
        <v>326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30">
        <v>135</v>
      </c>
      <c r="R722" s="30">
        <f t="shared" si="31"/>
        <v>160</v>
      </c>
      <c r="S722" s="30">
        <v>185</v>
      </c>
    </row>
    <row r="723" spans="1:19" ht="9" customHeight="1" x14ac:dyDescent="0.25">
      <c r="A723" s="8">
        <v>450257</v>
      </c>
      <c r="B723" s="9" t="s">
        <v>327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1">
        <v>105</v>
      </c>
      <c r="R723" s="31">
        <f t="shared" si="31"/>
        <v>125</v>
      </c>
      <c r="S723" s="31">
        <v>145</v>
      </c>
    </row>
    <row r="724" spans="1:19" ht="9" customHeight="1" x14ac:dyDescent="0.25">
      <c r="A724" s="5">
        <v>450270</v>
      </c>
      <c r="B724" s="6" t="s">
        <v>329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30">
        <v>995</v>
      </c>
      <c r="R724" s="30">
        <f t="shared" si="31"/>
        <v>1180</v>
      </c>
      <c r="S724" s="30">
        <v>1365</v>
      </c>
    </row>
    <row r="725" spans="1:19" ht="9" customHeight="1" x14ac:dyDescent="0.25">
      <c r="A725" s="8">
        <v>450179</v>
      </c>
      <c r="B725" s="9" t="s">
        <v>328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1">
        <v>975</v>
      </c>
      <c r="R725" s="31">
        <f t="shared" si="31"/>
        <v>1152.5</v>
      </c>
      <c r="S725" s="31">
        <v>1330</v>
      </c>
    </row>
    <row r="726" spans="1:19" ht="9" customHeight="1" x14ac:dyDescent="0.25">
      <c r="A726" s="5">
        <v>450251</v>
      </c>
      <c r="B726" s="6" t="s">
        <v>444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30">
        <v>830</v>
      </c>
      <c r="R726" s="30">
        <f t="shared" si="31"/>
        <v>982.5</v>
      </c>
      <c r="S726" s="30">
        <v>1135</v>
      </c>
    </row>
    <row r="727" spans="1:19" ht="9" customHeight="1" x14ac:dyDescent="0.25">
      <c r="A727" s="8">
        <v>450275</v>
      </c>
      <c r="B727" s="9" t="s">
        <v>445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1">
        <v>1460</v>
      </c>
      <c r="R727" s="31">
        <f t="shared" si="31"/>
        <v>1727.5</v>
      </c>
      <c r="S727" s="31">
        <v>1995</v>
      </c>
    </row>
    <row r="728" spans="1:19" ht="9" customHeight="1" x14ac:dyDescent="0.25">
      <c r="A728" s="5">
        <v>450498</v>
      </c>
      <c r="B728" s="6" t="s">
        <v>446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30">
        <v>920</v>
      </c>
      <c r="R728" s="30">
        <f t="shared" si="31"/>
        <v>1085</v>
      </c>
      <c r="S728" s="30">
        <v>1250</v>
      </c>
    </row>
    <row r="729" spans="1:19" ht="9" customHeight="1" x14ac:dyDescent="0.25">
      <c r="A729" s="8">
        <v>450506</v>
      </c>
      <c r="B729" s="9" t="s">
        <v>330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1">
        <v>65</v>
      </c>
      <c r="R729" s="31">
        <f t="shared" si="31"/>
        <v>75</v>
      </c>
      <c r="S729" s="31">
        <v>85</v>
      </c>
    </row>
    <row r="730" spans="1:19" ht="9" customHeight="1" x14ac:dyDescent="0.25">
      <c r="A730" s="5">
        <v>450189</v>
      </c>
      <c r="B730" s="6" t="s">
        <v>331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30">
        <v>245</v>
      </c>
      <c r="R730" s="30">
        <f t="shared" si="31"/>
        <v>287.5</v>
      </c>
      <c r="S730" s="30">
        <v>330</v>
      </c>
    </row>
    <row r="731" spans="1:19" ht="9" customHeight="1" x14ac:dyDescent="0.25">
      <c r="A731" s="8">
        <v>450512</v>
      </c>
      <c r="B731" s="9" t="s">
        <v>332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1">
        <v>115</v>
      </c>
      <c r="R731" s="31">
        <f t="shared" si="31"/>
        <v>132.5</v>
      </c>
      <c r="S731" s="31">
        <v>150</v>
      </c>
    </row>
    <row r="732" spans="1:19" ht="8.5500000000000007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41"/>
      <c r="R732" s="41"/>
      <c r="S732" s="41"/>
    </row>
    <row r="733" spans="1:19" ht="9" customHeight="1" x14ac:dyDescent="0.25">
      <c r="A733" s="3"/>
      <c r="B733" s="4" t="s">
        <v>447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40"/>
      <c r="R733" s="40"/>
      <c r="S733" s="40"/>
    </row>
    <row r="734" spans="1:19" ht="9" customHeight="1" x14ac:dyDescent="0.25">
      <c r="A734" s="5">
        <v>450370</v>
      </c>
      <c r="B734" s="6" t="s">
        <v>339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30">
        <v>525</v>
      </c>
      <c r="R734" s="30">
        <f t="shared" ref="R734:R769" si="32">((S734-Q734)/2)+Q734</f>
        <v>620</v>
      </c>
      <c r="S734" s="30">
        <v>715</v>
      </c>
    </row>
    <row r="735" spans="1:19" ht="9" customHeight="1" x14ac:dyDescent="0.25">
      <c r="A735" s="8">
        <v>450266</v>
      </c>
      <c r="B735" s="9" t="s">
        <v>448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1">
        <v>1050</v>
      </c>
      <c r="R735" s="31">
        <f t="shared" si="32"/>
        <v>1245</v>
      </c>
      <c r="S735" s="31">
        <v>1440</v>
      </c>
    </row>
    <row r="736" spans="1:19" ht="9" customHeight="1" x14ac:dyDescent="0.25">
      <c r="A736" s="5">
        <v>450352</v>
      </c>
      <c r="B736" s="6" t="s">
        <v>341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30">
        <v>390</v>
      </c>
      <c r="R736" s="30">
        <f t="shared" si="32"/>
        <v>465</v>
      </c>
      <c r="S736" s="30">
        <v>540</v>
      </c>
    </row>
    <row r="737" spans="1:19" ht="9" customHeight="1" x14ac:dyDescent="0.25">
      <c r="A737" s="8">
        <v>450354</v>
      </c>
      <c r="B737" s="9" t="s">
        <v>342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1">
        <v>150</v>
      </c>
      <c r="R737" s="31">
        <f t="shared" si="32"/>
        <v>172.5</v>
      </c>
      <c r="S737" s="31">
        <v>195</v>
      </c>
    </row>
    <row r="738" spans="1:19" ht="9" customHeight="1" x14ac:dyDescent="0.25">
      <c r="A738" s="5">
        <v>450494</v>
      </c>
      <c r="B738" s="6" t="s">
        <v>334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30">
        <v>1365</v>
      </c>
      <c r="R738" s="30">
        <f t="shared" si="32"/>
        <v>1620</v>
      </c>
      <c r="S738" s="30">
        <v>1875</v>
      </c>
    </row>
    <row r="739" spans="1:19" ht="9" customHeight="1" x14ac:dyDescent="0.25">
      <c r="A739" s="8">
        <v>450160</v>
      </c>
      <c r="B739" s="9" t="s">
        <v>84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1">
        <v>360</v>
      </c>
      <c r="R739" s="31">
        <f t="shared" si="32"/>
        <v>422.5</v>
      </c>
      <c r="S739" s="31">
        <v>485</v>
      </c>
    </row>
    <row r="740" spans="1:19" ht="9" customHeight="1" x14ac:dyDescent="0.25">
      <c r="A740" s="5">
        <v>450489</v>
      </c>
      <c r="B740" s="6" t="s">
        <v>343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30">
        <v>2425</v>
      </c>
      <c r="R740" s="30">
        <f t="shared" si="32"/>
        <v>2877.5</v>
      </c>
      <c r="S740" s="30">
        <v>3330</v>
      </c>
    </row>
    <row r="741" spans="1:19" ht="9" customHeight="1" x14ac:dyDescent="0.25">
      <c r="A741" s="8">
        <v>450531</v>
      </c>
      <c r="B741" s="9" t="s">
        <v>449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1">
        <v>65</v>
      </c>
      <c r="R741" s="31">
        <f t="shared" si="32"/>
        <v>75</v>
      </c>
      <c r="S741" s="31">
        <v>85</v>
      </c>
    </row>
    <row r="742" spans="1:19" ht="9" customHeight="1" x14ac:dyDescent="0.25">
      <c r="A742" s="5">
        <v>450535</v>
      </c>
      <c r="B742" s="6" t="s">
        <v>346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30">
        <v>1360</v>
      </c>
      <c r="R742" s="30">
        <f t="shared" si="32"/>
        <v>1615</v>
      </c>
      <c r="S742" s="30">
        <v>1870</v>
      </c>
    </row>
    <row r="743" spans="1:19" ht="9" customHeight="1" x14ac:dyDescent="0.25">
      <c r="A743" s="8">
        <v>450536</v>
      </c>
      <c r="B743" s="9" t="s">
        <v>347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1">
        <v>2305</v>
      </c>
      <c r="R743" s="31">
        <f t="shared" si="32"/>
        <v>2735</v>
      </c>
      <c r="S743" s="31">
        <v>3165</v>
      </c>
    </row>
    <row r="744" spans="1:19" ht="9" customHeight="1" x14ac:dyDescent="0.25">
      <c r="A744" s="5">
        <v>450537</v>
      </c>
      <c r="B744" s="6" t="s">
        <v>348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30">
        <v>1055</v>
      </c>
      <c r="R744" s="30">
        <f t="shared" si="32"/>
        <v>1250</v>
      </c>
      <c r="S744" s="30">
        <v>1445</v>
      </c>
    </row>
    <row r="745" spans="1:19" ht="9" customHeight="1" x14ac:dyDescent="0.25">
      <c r="A745" s="8">
        <v>450538</v>
      </c>
      <c r="B745" s="9" t="s">
        <v>349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1">
        <v>1290</v>
      </c>
      <c r="R745" s="31">
        <f t="shared" si="32"/>
        <v>1530</v>
      </c>
      <c r="S745" s="31">
        <v>1770</v>
      </c>
    </row>
    <row r="746" spans="1:19" ht="9" customHeight="1" x14ac:dyDescent="0.25">
      <c r="A746" s="5">
        <v>450510</v>
      </c>
      <c r="B746" s="6" t="s">
        <v>350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30">
        <v>55</v>
      </c>
      <c r="R746" s="30">
        <f t="shared" si="32"/>
        <v>62.5</v>
      </c>
      <c r="S746" s="30">
        <v>70</v>
      </c>
    </row>
    <row r="747" spans="1:19" ht="9" customHeight="1" x14ac:dyDescent="0.25">
      <c r="A747" s="8">
        <v>450600</v>
      </c>
      <c r="B747" s="9" t="s">
        <v>351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1">
        <v>95</v>
      </c>
      <c r="R747" s="31">
        <f t="shared" si="32"/>
        <v>112.5</v>
      </c>
      <c r="S747" s="31">
        <v>130</v>
      </c>
    </row>
    <row r="748" spans="1:19" ht="9" customHeight="1" x14ac:dyDescent="0.25">
      <c r="A748" s="5">
        <v>450606</v>
      </c>
      <c r="B748" s="6" t="s">
        <v>352</v>
      </c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30">
        <v>90</v>
      </c>
      <c r="R748" s="30">
        <f t="shared" si="32"/>
        <v>102.5</v>
      </c>
      <c r="S748" s="30">
        <v>115</v>
      </c>
    </row>
    <row r="749" spans="1:19" ht="9" customHeight="1" x14ac:dyDescent="0.25">
      <c r="A749" s="8">
        <v>450607</v>
      </c>
      <c r="B749" s="9" t="s">
        <v>353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1">
        <v>85</v>
      </c>
      <c r="R749" s="31">
        <f t="shared" si="32"/>
        <v>97.5</v>
      </c>
      <c r="S749" s="31">
        <v>110</v>
      </c>
    </row>
    <row r="750" spans="1:19" ht="9" customHeight="1" x14ac:dyDescent="0.25">
      <c r="A750" s="5">
        <v>450616</v>
      </c>
      <c r="B750" s="6" t="s">
        <v>450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30">
        <v>740</v>
      </c>
      <c r="R750" s="30">
        <f t="shared" si="32"/>
        <v>877.5</v>
      </c>
      <c r="S750" s="30">
        <v>1015</v>
      </c>
    </row>
    <row r="751" spans="1:19" ht="9" customHeight="1" x14ac:dyDescent="0.25">
      <c r="A751" s="15">
        <v>450604</v>
      </c>
      <c r="B751" s="9" t="s">
        <v>355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1">
        <v>105</v>
      </c>
      <c r="R751" s="31">
        <f t="shared" si="32"/>
        <v>120</v>
      </c>
      <c r="S751" s="31">
        <v>135</v>
      </c>
    </row>
    <row r="752" spans="1:19" ht="9" customHeight="1" x14ac:dyDescent="0.25">
      <c r="A752" s="14">
        <v>450570</v>
      </c>
      <c r="B752" s="6" t="s">
        <v>356</v>
      </c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30">
        <v>425</v>
      </c>
      <c r="R752" s="30">
        <f t="shared" si="32"/>
        <v>495</v>
      </c>
      <c r="S752" s="30">
        <v>565</v>
      </c>
    </row>
    <row r="753" spans="1:19" ht="9" customHeight="1" x14ac:dyDescent="0.25">
      <c r="A753" s="15">
        <v>450615</v>
      </c>
      <c r="B753" s="9" t="s">
        <v>357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1">
        <v>115</v>
      </c>
      <c r="R753" s="31">
        <f t="shared" si="32"/>
        <v>132.5</v>
      </c>
      <c r="S753" s="31">
        <v>150</v>
      </c>
    </row>
    <row r="754" spans="1:19" ht="9" customHeight="1" x14ac:dyDescent="0.25">
      <c r="A754" s="14">
        <v>450507</v>
      </c>
      <c r="B754" s="6" t="s">
        <v>358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30">
        <v>480</v>
      </c>
      <c r="R754" s="30">
        <f t="shared" si="32"/>
        <v>557.5</v>
      </c>
      <c r="S754" s="30">
        <v>635</v>
      </c>
    </row>
    <row r="755" spans="1:19" ht="9" customHeight="1" x14ac:dyDescent="0.25">
      <c r="A755" s="15">
        <v>450278</v>
      </c>
      <c r="B755" s="9" t="s">
        <v>359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1">
        <v>325</v>
      </c>
      <c r="R755" s="31">
        <f t="shared" si="32"/>
        <v>382.5</v>
      </c>
      <c r="S755" s="31">
        <v>440</v>
      </c>
    </row>
    <row r="756" spans="1:19" ht="9" customHeight="1" x14ac:dyDescent="0.25">
      <c r="A756" s="14">
        <v>450639</v>
      </c>
      <c r="B756" s="6" t="s">
        <v>360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30">
        <v>115</v>
      </c>
      <c r="R756" s="30">
        <f t="shared" si="32"/>
        <v>140</v>
      </c>
      <c r="S756" s="30">
        <v>165</v>
      </c>
    </row>
    <row r="757" spans="1:19" ht="9" customHeight="1" x14ac:dyDescent="0.25">
      <c r="A757" s="15">
        <v>450376</v>
      </c>
      <c r="B757" s="9" t="s">
        <v>361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1">
        <v>50</v>
      </c>
      <c r="R757" s="31">
        <f t="shared" si="32"/>
        <v>57.5</v>
      </c>
      <c r="S757" s="31">
        <v>65</v>
      </c>
    </row>
    <row r="758" spans="1:19" ht="9" customHeight="1" x14ac:dyDescent="0.25">
      <c r="A758" s="14">
        <v>450652</v>
      </c>
      <c r="B758" s="6" t="s">
        <v>362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30">
        <v>25</v>
      </c>
      <c r="R758" s="30">
        <f t="shared" si="32"/>
        <v>27.5</v>
      </c>
      <c r="S758" s="30">
        <v>30</v>
      </c>
    </row>
    <row r="759" spans="1:19" ht="9" customHeight="1" x14ac:dyDescent="0.25">
      <c r="A759" s="15">
        <v>450263</v>
      </c>
      <c r="B759" s="9" t="s">
        <v>363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1">
        <v>870</v>
      </c>
      <c r="R759" s="31">
        <f t="shared" si="32"/>
        <v>1022.5</v>
      </c>
      <c r="S759" s="31">
        <v>1175</v>
      </c>
    </row>
    <row r="760" spans="1:19" ht="9" customHeight="1" x14ac:dyDescent="0.25">
      <c r="A760" s="14">
        <v>450532</v>
      </c>
      <c r="B760" s="6" t="s">
        <v>365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30">
        <v>45</v>
      </c>
      <c r="R760" s="30">
        <f t="shared" si="32"/>
        <v>55</v>
      </c>
      <c r="S760" s="30">
        <v>65</v>
      </c>
    </row>
    <row r="761" spans="1:19" ht="9" customHeight="1" x14ac:dyDescent="0.25">
      <c r="A761" s="15">
        <v>450613</v>
      </c>
      <c r="B761" s="9" t="s">
        <v>364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1">
        <v>345</v>
      </c>
      <c r="R761" s="31">
        <f t="shared" si="32"/>
        <v>412.5</v>
      </c>
      <c r="S761" s="31">
        <v>480</v>
      </c>
    </row>
    <row r="762" spans="1:19" ht="9" customHeight="1" x14ac:dyDescent="0.25">
      <c r="A762" s="14">
        <v>450663</v>
      </c>
      <c r="B762" s="6" t="s">
        <v>105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30">
        <v>125</v>
      </c>
      <c r="R762" s="30">
        <f t="shared" si="32"/>
        <v>147.5</v>
      </c>
      <c r="S762" s="30">
        <v>170</v>
      </c>
    </row>
    <row r="763" spans="1:19" ht="9" customHeight="1" x14ac:dyDescent="0.25">
      <c r="A763" s="15">
        <v>450671</v>
      </c>
      <c r="B763" s="9" t="s">
        <v>366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1">
        <v>725</v>
      </c>
      <c r="R763" s="31">
        <f t="shared" si="32"/>
        <v>850</v>
      </c>
      <c r="S763" s="31">
        <v>975</v>
      </c>
    </row>
    <row r="764" spans="1:19" ht="9" customHeight="1" x14ac:dyDescent="0.25">
      <c r="A764" s="14">
        <v>450248</v>
      </c>
      <c r="B764" s="6" t="s">
        <v>367</v>
      </c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30">
        <v>620</v>
      </c>
      <c r="R764" s="30">
        <f t="shared" si="32"/>
        <v>727.5</v>
      </c>
      <c r="S764" s="30">
        <v>835</v>
      </c>
    </row>
    <row r="765" spans="1:19" ht="9" customHeight="1" x14ac:dyDescent="0.25">
      <c r="A765" s="15">
        <v>452013</v>
      </c>
      <c r="B765" s="9" t="s">
        <v>368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1">
        <v>165</v>
      </c>
      <c r="R765" s="31">
        <f t="shared" si="32"/>
        <v>190</v>
      </c>
      <c r="S765" s="31">
        <v>215</v>
      </c>
    </row>
    <row r="766" spans="1:19" ht="9" customHeight="1" x14ac:dyDescent="0.25">
      <c r="A766" s="14">
        <v>450190</v>
      </c>
      <c r="B766" s="6" t="s">
        <v>369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30">
        <v>135</v>
      </c>
      <c r="R766" s="30">
        <f t="shared" si="32"/>
        <v>160</v>
      </c>
      <c r="S766" s="30">
        <v>185</v>
      </c>
    </row>
    <row r="767" spans="1:19" ht="9" customHeight="1" x14ac:dyDescent="0.25">
      <c r="A767" s="15">
        <v>450183</v>
      </c>
      <c r="B767" s="9" t="s">
        <v>179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1">
        <v>25</v>
      </c>
      <c r="R767" s="31">
        <f t="shared" si="32"/>
        <v>27.5</v>
      </c>
      <c r="S767" s="31">
        <v>30</v>
      </c>
    </row>
    <row r="768" spans="1:19" ht="9" customHeight="1" x14ac:dyDescent="0.25">
      <c r="A768" s="5">
        <v>450735</v>
      </c>
      <c r="B768" s="6" t="s">
        <v>370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30">
        <v>130</v>
      </c>
      <c r="R768" s="30">
        <f t="shared" si="32"/>
        <v>162.5</v>
      </c>
      <c r="S768" s="30">
        <v>195</v>
      </c>
    </row>
    <row r="769" spans="1:19" ht="9" customHeight="1" x14ac:dyDescent="0.25">
      <c r="A769" s="8">
        <v>450732</v>
      </c>
      <c r="B769" s="9" t="s">
        <v>112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1">
        <v>330</v>
      </c>
      <c r="R769" s="31">
        <f t="shared" si="32"/>
        <v>417.5</v>
      </c>
      <c r="S769" s="31">
        <v>505</v>
      </c>
    </row>
    <row r="770" spans="1:19" ht="8.5500000000000007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41"/>
      <c r="R770" s="41"/>
      <c r="S770" s="41"/>
    </row>
    <row r="771" spans="1:19" ht="9" customHeight="1" x14ac:dyDescent="0.25">
      <c r="A771" s="3"/>
      <c r="B771" s="4" t="s">
        <v>451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40"/>
      <c r="R771" s="40"/>
      <c r="S771" s="40"/>
    </row>
    <row r="772" spans="1:19" ht="9" customHeight="1" x14ac:dyDescent="0.25">
      <c r="A772" s="5">
        <v>450329</v>
      </c>
      <c r="B772" s="35" t="s">
        <v>474</v>
      </c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30">
        <v>185</v>
      </c>
      <c r="R772" s="30">
        <f t="shared" ref="R772:R783" si="33">((S772-Q772)/2)+Q772</f>
        <v>217.5</v>
      </c>
      <c r="S772" s="30">
        <v>250</v>
      </c>
    </row>
    <row r="773" spans="1:19" ht="9" customHeight="1" x14ac:dyDescent="0.25">
      <c r="A773" s="8">
        <v>450330</v>
      </c>
      <c r="B773" s="34" t="s">
        <v>475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1">
        <v>2425</v>
      </c>
      <c r="R773" s="31">
        <f t="shared" si="33"/>
        <v>2877.5</v>
      </c>
      <c r="S773" s="31">
        <v>3330</v>
      </c>
    </row>
    <row r="774" spans="1:19" ht="9" customHeight="1" x14ac:dyDescent="0.25">
      <c r="A774" s="5">
        <v>450331</v>
      </c>
      <c r="B774" s="35" t="s">
        <v>476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30">
        <v>2425</v>
      </c>
      <c r="R774" s="30">
        <f t="shared" si="33"/>
        <v>2877.5</v>
      </c>
      <c r="S774" s="30">
        <v>3330</v>
      </c>
    </row>
    <row r="775" spans="1:19" ht="9" customHeight="1" x14ac:dyDescent="0.25">
      <c r="A775" s="8">
        <v>450332</v>
      </c>
      <c r="B775" s="34" t="s">
        <v>477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1">
        <v>2425</v>
      </c>
      <c r="R775" s="31">
        <f t="shared" si="33"/>
        <v>2877.5</v>
      </c>
      <c r="S775" s="31">
        <v>3330</v>
      </c>
    </row>
    <row r="776" spans="1:19" ht="9" customHeight="1" x14ac:dyDescent="0.25">
      <c r="A776" s="5">
        <v>450333</v>
      </c>
      <c r="B776" s="35" t="s">
        <v>478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30">
        <v>2425</v>
      </c>
      <c r="R776" s="30">
        <f t="shared" si="33"/>
        <v>2877.5</v>
      </c>
      <c r="S776" s="30">
        <v>3330</v>
      </c>
    </row>
    <row r="777" spans="1:19" ht="9" customHeight="1" x14ac:dyDescent="0.25">
      <c r="A777" s="8">
        <v>450334</v>
      </c>
      <c r="B777" s="34" t="s">
        <v>479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1">
        <v>2425</v>
      </c>
      <c r="R777" s="31">
        <f t="shared" si="33"/>
        <v>2877.5</v>
      </c>
      <c r="S777" s="31">
        <v>3330</v>
      </c>
    </row>
    <row r="778" spans="1:19" ht="9" customHeight="1" x14ac:dyDescent="0.25">
      <c r="A778" s="5">
        <v>450335</v>
      </c>
      <c r="B778" s="35" t="s">
        <v>480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30">
        <v>2425</v>
      </c>
      <c r="R778" s="30">
        <f t="shared" si="33"/>
        <v>2877.5</v>
      </c>
      <c r="S778" s="30">
        <v>3330</v>
      </c>
    </row>
    <row r="779" spans="1:19" ht="9" customHeight="1" x14ac:dyDescent="0.25">
      <c r="A779" s="8">
        <v>450336</v>
      </c>
      <c r="B779" s="34" t="s">
        <v>481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1">
        <v>2425</v>
      </c>
      <c r="R779" s="31">
        <f t="shared" si="33"/>
        <v>2877.5</v>
      </c>
      <c r="S779" s="31">
        <v>3330</v>
      </c>
    </row>
    <row r="780" spans="1:19" ht="9" customHeight="1" x14ac:dyDescent="0.25">
      <c r="A780" s="5">
        <v>450337</v>
      </c>
      <c r="B780" s="35" t="s">
        <v>482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30">
        <v>2425</v>
      </c>
      <c r="R780" s="30">
        <f t="shared" si="33"/>
        <v>2877.5</v>
      </c>
      <c r="S780" s="30">
        <v>3330</v>
      </c>
    </row>
    <row r="781" spans="1:19" ht="9" customHeight="1" x14ac:dyDescent="0.25">
      <c r="A781" s="8">
        <v>450338</v>
      </c>
      <c r="B781" s="34" t="s">
        <v>483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1">
        <v>2425</v>
      </c>
      <c r="R781" s="31">
        <f t="shared" si="33"/>
        <v>2877.5</v>
      </c>
      <c r="S781" s="31">
        <v>3330</v>
      </c>
    </row>
    <row r="782" spans="1:19" ht="9" customHeight="1" x14ac:dyDescent="0.25">
      <c r="A782" s="5">
        <v>450339</v>
      </c>
      <c r="B782" s="35" t="s">
        <v>484</v>
      </c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30">
        <v>2425</v>
      </c>
      <c r="R782" s="30">
        <f t="shared" si="33"/>
        <v>2877.5</v>
      </c>
      <c r="S782" s="30">
        <v>3330</v>
      </c>
    </row>
    <row r="783" spans="1:19" ht="9" customHeight="1" x14ac:dyDescent="0.25">
      <c r="A783" s="8">
        <v>450340</v>
      </c>
      <c r="B783" s="34" t="s">
        <v>485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1">
        <v>2425</v>
      </c>
      <c r="R783" s="31">
        <f t="shared" si="33"/>
        <v>2877.5</v>
      </c>
      <c r="S783" s="31">
        <v>3330</v>
      </c>
    </row>
    <row r="784" spans="1:19" ht="8.5500000000000007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41"/>
      <c r="R784" s="41"/>
      <c r="S784" s="41"/>
    </row>
    <row r="785" spans="1:19" ht="9" customHeight="1" x14ac:dyDescent="0.25">
      <c r="A785" s="3"/>
      <c r="B785" s="4" t="s">
        <v>452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40"/>
      <c r="R785" s="40"/>
      <c r="S785" s="40"/>
    </row>
    <row r="786" spans="1:19" ht="9" customHeight="1" x14ac:dyDescent="0.25">
      <c r="A786" s="5">
        <v>450355</v>
      </c>
      <c r="B786" s="6" t="s">
        <v>373</v>
      </c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30">
        <v>1880</v>
      </c>
      <c r="R786" s="30">
        <f t="shared" ref="R786:R794" si="34">((S786-Q786)/2)+Q786</f>
        <v>2232.5</v>
      </c>
      <c r="S786" s="30">
        <v>2585</v>
      </c>
    </row>
    <row r="787" spans="1:19" ht="9" customHeight="1" x14ac:dyDescent="0.25">
      <c r="A787" s="8">
        <v>450356</v>
      </c>
      <c r="B787" s="9" t="s">
        <v>374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1">
        <v>1880</v>
      </c>
      <c r="R787" s="31">
        <f t="shared" si="34"/>
        <v>2232.5</v>
      </c>
      <c r="S787" s="31">
        <v>2585</v>
      </c>
    </row>
    <row r="788" spans="1:19" ht="9" customHeight="1" x14ac:dyDescent="0.25">
      <c r="A788" s="5">
        <v>450359</v>
      </c>
      <c r="B788" s="6" t="s">
        <v>375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30">
        <v>2205</v>
      </c>
      <c r="R788" s="30">
        <f t="shared" si="34"/>
        <v>2617.5</v>
      </c>
      <c r="S788" s="30">
        <v>3030</v>
      </c>
    </row>
    <row r="789" spans="1:19" ht="9" customHeight="1" x14ac:dyDescent="0.25">
      <c r="A789" s="8">
        <v>450360</v>
      </c>
      <c r="B789" s="9" t="s">
        <v>376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1">
        <v>2205</v>
      </c>
      <c r="R789" s="31">
        <f t="shared" si="34"/>
        <v>2617.5</v>
      </c>
      <c r="S789" s="31">
        <v>3030</v>
      </c>
    </row>
    <row r="790" spans="1:19" ht="9" customHeight="1" x14ac:dyDescent="0.25">
      <c r="A790" s="5">
        <v>450628</v>
      </c>
      <c r="B790" s="6" t="s">
        <v>453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30">
        <v>1625</v>
      </c>
      <c r="R790" s="30">
        <f t="shared" si="34"/>
        <v>1907.5</v>
      </c>
      <c r="S790" s="30">
        <v>2190</v>
      </c>
    </row>
    <row r="791" spans="1:19" ht="9" customHeight="1" x14ac:dyDescent="0.25">
      <c r="A791" s="8">
        <v>450361</v>
      </c>
      <c r="B791" s="9" t="s">
        <v>377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1">
        <v>430</v>
      </c>
      <c r="R791" s="31">
        <f t="shared" si="34"/>
        <v>507.5</v>
      </c>
      <c r="S791" s="31">
        <v>585</v>
      </c>
    </row>
    <row r="792" spans="1:19" ht="9" customHeight="1" x14ac:dyDescent="0.25">
      <c r="A792" s="5">
        <v>450363</v>
      </c>
      <c r="B792" s="6" t="s">
        <v>378</v>
      </c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30">
        <v>1010</v>
      </c>
      <c r="R792" s="30">
        <f t="shared" si="34"/>
        <v>1195</v>
      </c>
      <c r="S792" s="30">
        <v>1380</v>
      </c>
    </row>
    <row r="793" spans="1:19" ht="9" customHeight="1" x14ac:dyDescent="0.25">
      <c r="A793" s="8">
        <v>450364</v>
      </c>
      <c r="B793" s="9" t="s">
        <v>379</v>
      </c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31">
        <v>515</v>
      </c>
      <c r="R793" s="31">
        <f t="shared" si="34"/>
        <v>607.5</v>
      </c>
      <c r="S793" s="31">
        <v>700</v>
      </c>
    </row>
    <row r="794" spans="1:19" ht="9" customHeight="1" x14ac:dyDescent="0.25">
      <c r="A794" s="5">
        <v>450503</v>
      </c>
      <c r="B794" s="6" t="s">
        <v>380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30">
        <v>2125</v>
      </c>
      <c r="R794" s="30">
        <f t="shared" si="34"/>
        <v>2520</v>
      </c>
      <c r="S794" s="30">
        <v>2915</v>
      </c>
    </row>
    <row r="795" spans="1:19" ht="8.5500000000000007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40"/>
      <c r="R795" s="40"/>
      <c r="S795" s="40"/>
    </row>
    <row r="796" spans="1:19" ht="9" customHeight="1" x14ac:dyDescent="0.25">
      <c r="A796" s="7"/>
      <c r="B796" s="16" t="s">
        <v>454</v>
      </c>
      <c r="C796" s="16" t="s">
        <v>121</v>
      </c>
      <c r="D796" s="16" t="s">
        <v>195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41"/>
      <c r="R796" s="41"/>
      <c r="S796" s="41"/>
    </row>
    <row r="797" spans="1:19" ht="9" customHeight="1" x14ac:dyDescent="0.25">
      <c r="A797" s="8">
        <v>450744</v>
      </c>
      <c r="B797" s="9" t="s">
        <v>251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1">
        <v>2820</v>
      </c>
      <c r="R797" s="31">
        <f t="shared" ref="R797:R799" si="35">((S797-Q797)/2)+Q797</f>
        <v>3327.5</v>
      </c>
      <c r="S797" s="31">
        <v>3835</v>
      </c>
    </row>
    <row r="798" spans="1:19" ht="9" customHeight="1" x14ac:dyDescent="0.25">
      <c r="A798" s="5">
        <v>450561</v>
      </c>
      <c r="B798" s="6" t="s">
        <v>383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30">
        <v>940</v>
      </c>
      <c r="R798" s="30">
        <f t="shared" si="35"/>
        <v>1115</v>
      </c>
      <c r="S798" s="30">
        <v>1290</v>
      </c>
    </row>
    <row r="799" spans="1:19" ht="9" customHeight="1" x14ac:dyDescent="0.25">
      <c r="A799" s="8">
        <v>450713</v>
      </c>
      <c r="B799" s="9" t="s">
        <v>384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1">
        <v>115</v>
      </c>
      <c r="R799" s="31">
        <f t="shared" si="35"/>
        <v>135</v>
      </c>
      <c r="S799" s="31">
        <v>155</v>
      </c>
    </row>
    <row r="800" spans="1:19" ht="8.5500000000000007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41"/>
      <c r="R800" s="41"/>
      <c r="S800" s="41"/>
    </row>
    <row r="801" spans="1:19" ht="9" customHeight="1" x14ac:dyDescent="0.25">
      <c r="A801" s="3"/>
      <c r="B801" s="4" t="s">
        <v>455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40"/>
      <c r="R801" s="40"/>
      <c r="S801" s="40"/>
    </row>
    <row r="802" spans="1:19" ht="9" customHeight="1" x14ac:dyDescent="0.25">
      <c r="A802" s="5">
        <v>450545</v>
      </c>
      <c r="B802" s="6" t="s">
        <v>386</v>
      </c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30">
        <v>665</v>
      </c>
      <c r="R802" s="30">
        <f t="shared" ref="R802:R808" si="36">((S802-Q802)/2)+Q802</f>
        <v>787.5</v>
      </c>
      <c r="S802" s="30">
        <v>910</v>
      </c>
    </row>
    <row r="803" spans="1:19" ht="9" customHeight="1" x14ac:dyDescent="0.25">
      <c r="A803" s="8">
        <v>450549</v>
      </c>
      <c r="B803" s="9" t="s">
        <v>387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1">
        <v>2600</v>
      </c>
      <c r="R803" s="31">
        <f t="shared" si="36"/>
        <v>3087.5</v>
      </c>
      <c r="S803" s="31">
        <v>3575</v>
      </c>
    </row>
    <row r="804" spans="1:19" ht="9" customHeight="1" x14ac:dyDescent="0.25">
      <c r="A804" s="5">
        <v>450556</v>
      </c>
      <c r="B804" s="6" t="s">
        <v>456</v>
      </c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30">
        <v>5635</v>
      </c>
      <c r="R804" s="30">
        <f t="shared" si="36"/>
        <v>6687.5</v>
      </c>
      <c r="S804" s="30">
        <v>7740</v>
      </c>
    </row>
    <row r="805" spans="1:19" ht="9" customHeight="1" x14ac:dyDescent="0.25">
      <c r="A805" s="8">
        <v>450557</v>
      </c>
      <c r="B805" s="9" t="s">
        <v>457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1">
        <v>5635</v>
      </c>
      <c r="R805" s="31">
        <f t="shared" si="36"/>
        <v>6687.5</v>
      </c>
      <c r="S805" s="31">
        <v>7740</v>
      </c>
    </row>
    <row r="806" spans="1:19" ht="9" customHeight="1" x14ac:dyDescent="0.25">
      <c r="A806" s="5">
        <v>450224</v>
      </c>
      <c r="B806" s="6" t="s">
        <v>38</v>
      </c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30">
        <v>1065</v>
      </c>
      <c r="R806" s="30">
        <f t="shared" si="36"/>
        <v>1265</v>
      </c>
      <c r="S806" s="30">
        <v>1465</v>
      </c>
    </row>
    <row r="807" spans="1:19" ht="9" customHeight="1" x14ac:dyDescent="0.25">
      <c r="A807" s="8">
        <v>450726</v>
      </c>
      <c r="B807" s="9" t="s">
        <v>389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1">
        <v>195</v>
      </c>
      <c r="R807" s="31">
        <f t="shared" si="36"/>
        <v>250</v>
      </c>
      <c r="S807" s="31">
        <v>305</v>
      </c>
    </row>
    <row r="808" spans="1:19" ht="9" customHeight="1" x14ac:dyDescent="0.25">
      <c r="A808" s="5">
        <v>450857</v>
      </c>
      <c r="B808" s="6" t="s">
        <v>440</v>
      </c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30">
        <v>1390</v>
      </c>
      <c r="R808" s="30">
        <f t="shared" si="36"/>
        <v>1527.5</v>
      </c>
      <c r="S808" s="30">
        <v>1665</v>
      </c>
    </row>
    <row r="809" spans="1:19" ht="8.5500000000000007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40"/>
      <c r="R809" s="40"/>
      <c r="S809" s="40"/>
    </row>
    <row r="810" spans="1:19" ht="9" customHeight="1" x14ac:dyDescent="0.25">
      <c r="A810" s="7"/>
      <c r="B810" s="16" t="s">
        <v>458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41"/>
      <c r="R810" s="41"/>
      <c r="S810" s="41"/>
    </row>
    <row r="811" spans="1:19" ht="9" customHeight="1" x14ac:dyDescent="0.25">
      <c r="A811" s="8">
        <v>450546</v>
      </c>
      <c r="B811" s="9" t="s">
        <v>391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1">
        <v>2250</v>
      </c>
      <c r="R811" s="31">
        <f t="shared" ref="R811:R812" si="37">((S811-Q811)/2)+Q811</f>
        <v>2667.5</v>
      </c>
      <c r="S811" s="31">
        <v>3085</v>
      </c>
    </row>
    <row r="812" spans="1:19" ht="9" customHeight="1" x14ac:dyDescent="0.25">
      <c r="A812" s="5">
        <v>450295</v>
      </c>
      <c r="B812" s="6" t="s">
        <v>50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30">
        <v>3085</v>
      </c>
      <c r="R812" s="30">
        <f t="shared" si="37"/>
        <v>3657.5</v>
      </c>
      <c r="S812" s="30">
        <v>4230</v>
      </c>
    </row>
    <row r="813" spans="1:19" ht="8.5500000000000007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40"/>
      <c r="R813" s="40"/>
      <c r="S813" s="40"/>
    </row>
    <row r="814" spans="1:19" ht="9" customHeight="1" x14ac:dyDescent="0.25">
      <c r="A814" s="7"/>
      <c r="B814" s="16" t="s">
        <v>459</v>
      </c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41"/>
      <c r="R814" s="41"/>
      <c r="S814" s="41"/>
    </row>
    <row r="815" spans="1:19" ht="9" customHeight="1" x14ac:dyDescent="0.25">
      <c r="A815" s="8">
        <v>450173</v>
      </c>
      <c r="B815" s="9" t="s">
        <v>307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1">
        <v>4310</v>
      </c>
      <c r="R815" s="31">
        <f t="shared" ref="R815:R825" si="38">((S815-Q815)/2)+Q815</f>
        <v>5115</v>
      </c>
      <c r="S815" s="31">
        <v>5920</v>
      </c>
    </row>
    <row r="816" spans="1:19" ht="9" customHeight="1" x14ac:dyDescent="0.25">
      <c r="A816" s="5">
        <v>450162</v>
      </c>
      <c r="B816" s="6" t="s">
        <v>308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30">
        <v>915</v>
      </c>
      <c r="R816" s="30">
        <f t="shared" si="38"/>
        <v>1082.5</v>
      </c>
      <c r="S816" s="30">
        <v>1250</v>
      </c>
    </row>
    <row r="817" spans="1:19" ht="9" customHeight="1" x14ac:dyDescent="0.25">
      <c r="A817" s="8">
        <v>450141</v>
      </c>
      <c r="B817" s="9" t="s">
        <v>78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1">
        <v>525</v>
      </c>
      <c r="R817" s="31">
        <f t="shared" si="38"/>
        <v>625</v>
      </c>
      <c r="S817" s="31">
        <v>725</v>
      </c>
    </row>
    <row r="818" spans="1:19" ht="9" customHeight="1" x14ac:dyDescent="0.25">
      <c r="A818" s="5">
        <v>450372</v>
      </c>
      <c r="B818" s="6" t="s">
        <v>309</v>
      </c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30">
        <v>855</v>
      </c>
      <c r="R818" s="30">
        <f t="shared" si="38"/>
        <v>1020</v>
      </c>
      <c r="S818" s="30">
        <v>1185</v>
      </c>
    </row>
    <row r="819" spans="1:19" ht="9" customHeight="1" x14ac:dyDescent="0.25">
      <c r="A819" s="8">
        <v>450165</v>
      </c>
      <c r="B819" s="9" t="s">
        <v>310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1">
        <v>345</v>
      </c>
      <c r="R819" s="31">
        <f t="shared" si="38"/>
        <v>407.5</v>
      </c>
      <c r="S819" s="31">
        <v>470</v>
      </c>
    </row>
    <row r="820" spans="1:19" ht="9" customHeight="1" x14ac:dyDescent="0.25">
      <c r="A820" s="5">
        <v>450139</v>
      </c>
      <c r="B820" s="6" t="s">
        <v>76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30">
        <v>55</v>
      </c>
      <c r="R820" s="30">
        <f t="shared" si="38"/>
        <v>62.5</v>
      </c>
      <c r="S820" s="30">
        <v>70</v>
      </c>
    </row>
    <row r="821" spans="1:19" ht="9" customHeight="1" x14ac:dyDescent="0.25">
      <c r="A821" s="8">
        <v>450126</v>
      </c>
      <c r="B821" s="9" t="s">
        <v>68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1">
        <v>545</v>
      </c>
      <c r="R821" s="31">
        <f t="shared" si="38"/>
        <v>650</v>
      </c>
      <c r="S821" s="31">
        <v>755</v>
      </c>
    </row>
    <row r="822" spans="1:19" ht="9" customHeight="1" x14ac:dyDescent="0.25">
      <c r="A822" s="5">
        <v>450204</v>
      </c>
      <c r="B822" s="6" t="s">
        <v>311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30">
        <v>305</v>
      </c>
      <c r="R822" s="30">
        <f t="shared" si="38"/>
        <v>362.5</v>
      </c>
      <c r="S822" s="30">
        <v>420</v>
      </c>
    </row>
    <row r="823" spans="1:19" ht="9" customHeight="1" x14ac:dyDescent="0.25">
      <c r="A823" s="8">
        <v>450317</v>
      </c>
      <c r="B823" s="9" t="s">
        <v>393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1">
        <v>325</v>
      </c>
      <c r="R823" s="31">
        <f t="shared" si="38"/>
        <v>385</v>
      </c>
      <c r="S823" s="31">
        <v>445</v>
      </c>
    </row>
    <row r="824" spans="1:19" ht="9" customHeight="1" x14ac:dyDescent="0.25">
      <c r="A824" s="5">
        <v>450696</v>
      </c>
      <c r="B824" s="6" t="s">
        <v>394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30">
        <v>105</v>
      </c>
      <c r="R824" s="30">
        <f t="shared" si="38"/>
        <v>120</v>
      </c>
      <c r="S824" s="30">
        <v>135</v>
      </c>
    </row>
    <row r="825" spans="1:19" ht="9" customHeight="1" x14ac:dyDescent="0.25">
      <c r="A825" s="8">
        <v>450714</v>
      </c>
      <c r="B825" s="9" t="s">
        <v>395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1">
        <v>225</v>
      </c>
      <c r="R825" s="31">
        <f t="shared" si="38"/>
        <v>285</v>
      </c>
      <c r="S825" s="31">
        <v>345</v>
      </c>
    </row>
    <row r="826" spans="1:19" ht="8.5500000000000007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41"/>
      <c r="R826" s="41"/>
      <c r="S826" s="41"/>
    </row>
    <row r="827" spans="1:19" ht="9" customHeight="1" x14ac:dyDescent="0.25">
      <c r="A827" s="3"/>
      <c r="B827" s="4" t="s">
        <v>460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40"/>
      <c r="R827" s="40"/>
      <c r="S827" s="40"/>
    </row>
    <row r="828" spans="1:19" ht="9" customHeight="1" x14ac:dyDescent="0.25">
      <c r="A828" s="5">
        <v>450550</v>
      </c>
      <c r="B828" s="6" t="s">
        <v>397</v>
      </c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30">
        <v>2700</v>
      </c>
      <c r="R828" s="30">
        <f t="shared" ref="R828:R842" si="39">((S828-Q828)/2)+Q828</f>
        <v>3200</v>
      </c>
      <c r="S828" s="30">
        <v>3700</v>
      </c>
    </row>
    <row r="829" spans="1:19" ht="9" customHeight="1" x14ac:dyDescent="0.25">
      <c r="A829" s="8">
        <v>450558</v>
      </c>
      <c r="B829" s="9" t="s">
        <v>461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1">
        <v>1155</v>
      </c>
      <c r="R829" s="31">
        <f t="shared" si="39"/>
        <v>1370</v>
      </c>
      <c r="S829" s="31">
        <v>1585</v>
      </c>
    </row>
    <row r="830" spans="1:19" ht="9" customHeight="1" x14ac:dyDescent="0.25">
      <c r="A830" s="5">
        <v>450559</v>
      </c>
      <c r="B830" s="6" t="s">
        <v>462</v>
      </c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30">
        <v>1145</v>
      </c>
      <c r="R830" s="30">
        <f t="shared" si="39"/>
        <v>1352.5</v>
      </c>
      <c r="S830" s="30">
        <v>1560</v>
      </c>
    </row>
    <row r="831" spans="1:19" ht="9" customHeight="1" x14ac:dyDescent="0.25">
      <c r="A831" s="8">
        <v>450560</v>
      </c>
      <c r="B831" s="9" t="s">
        <v>463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1">
        <v>1165</v>
      </c>
      <c r="R831" s="31">
        <f t="shared" si="39"/>
        <v>1382.5</v>
      </c>
      <c r="S831" s="31">
        <v>1600</v>
      </c>
    </row>
    <row r="832" spans="1:19" ht="9" customHeight="1" x14ac:dyDescent="0.25">
      <c r="A832" s="5">
        <v>450172</v>
      </c>
      <c r="B832" s="6" t="s">
        <v>319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30">
        <v>485</v>
      </c>
      <c r="R832" s="30">
        <f t="shared" si="39"/>
        <v>572.5</v>
      </c>
      <c r="S832" s="30">
        <v>660</v>
      </c>
    </row>
    <row r="833" spans="1:19" ht="9" customHeight="1" x14ac:dyDescent="0.25">
      <c r="A833" s="8">
        <v>450217</v>
      </c>
      <c r="B833" s="9" t="s">
        <v>320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1">
        <v>585</v>
      </c>
      <c r="R833" s="31">
        <f t="shared" si="39"/>
        <v>692.5</v>
      </c>
      <c r="S833" s="31">
        <v>800</v>
      </c>
    </row>
    <row r="834" spans="1:19" ht="9" customHeight="1" x14ac:dyDescent="0.25">
      <c r="A834" s="5">
        <v>450256</v>
      </c>
      <c r="B834" s="6" t="s">
        <v>326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30">
        <v>135</v>
      </c>
      <c r="R834" s="30">
        <f t="shared" si="39"/>
        <v>160</v>
      </c>
      <c r="S834" s="30">
        <v>185</v>
      </c>
    </row>
    <row r="835" spans="1:19" ht="9" customHeight="1" x14ac:dyDescent="0.25">
      <c r="A835" s="8">
        <v>450257</v>
      </c>
      <c r="B835" s="9" t="s">
        <v>327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1">
        <v>105</v>
      </c>
      <c r="R835" s="31">
        <f t="shared" si="39"/>
        <v>125</v>
      </c>
      <c r="S835" s="31">
        <v>145</v>
      </c>
    </row>
    <row r="836" spans="1:19" ht="9" customHeight="1" x14ac:dyDescent="0.25">
      <c r="A836" s="5">
        <v>450179</v>
      </c>
      <c r="B836" s="6" t="s">
        <v>328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30">
        <v>975</v>
      </c>
      <c r="R836" s="30">
        <f t="shared" si="39"/>
        <v>1152.5</v>
      </c>
      <c r="S836" s="30">
        <v>1330</v>
      </c>
    </row>
    <row r="837" spans="1:19" ht="9" customHeight="1" x14ac:dyDescent="0.25">
      <c r="A837" s="8">
        <v>450638</v>
      </c>
      <c r="B837" s="9" t="s">
        <v>464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1">
        <v>1215</v>
      </c>
      <c r="R837" s="31">
        <f t="shared" si="39"/>
        <v>1445</v>
      </c>
      <c r="S837" s="31">
        <v>1675</v>
      </c>
    </row>
    <row r="838" spans="1:19" ht="9" customHeight="1" x14ac:dyDescent="0.25">
      <c r="A838" s="5">
        <v>450654</v>
      </c>
      <c r="B838" s="6" t="s">
        <v>465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30">
        <v>1075</v>
      </c>
      <c r="R838" s="30">
        <f t="shared" si="39"/>
        <v>1270</v>
      </c>
      <c r="S838" s="30">
        <v>1465</v>
      </c>
    </row>
    <row r="839" spans="1:19" ht="9" customHeight="1" x14ac:dyDescent="0.25">
      <c r="A839" s="8">
        <v>450658</v>
      </c>
      <c r="B839" s="9" t="s">
        <v>466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1">
        <v>915</v>
      </c>
      <c r="R839" s="31">
        <f t="shared" si="39"/>
        <v>1082.5</v>
      </c>
      <c r="S839" s="31">
        <v>1250</v>
      </c>
    </row>
    <row r="840" spans="1:19" ht="9" customHeight="1" x14ac:dyDescent="0.25">
      <c r="A840" s="5">
        <v>452014</v>
      </c>
      <c r="B840" s="6" t="s">
        <v>402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30">
        <v>150</v>
      </c>
      <c r="R840" s="30">
        <f t="shared" si="39"/>
        <v>177.5</v>
      </c>
      <c r="S840" s="30">
        <v>205</v>
      </c>
    </row>
    <row r="841" spans="1:19" ht="9" customHeight="1" x14ac:dyDescent="0.25">
      <c r="A841" s="8">
        <v>450705</v>
      </c>
      <c r="B841" s="9" t="s">
        <v>405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1">
        <v>45</v>
      </c>
      <c r="R841" s="31">
        <f t="shared" si="39"/>
        <v>50</v>
      </c>
      <c r="S841" s="31">
        <v>55</v>
      </c>
    </row>
    <row r="842" spans="1:19" ht="9" customHeight="1" x14ac:dyDescent="0.25">
      <c r="A842" s="5">
        <v>450653</v>
      </c>
      <c r="B842" s="6" t="s">
        <v>406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30">
        <v>25</v>
      </c>
      <c r="R842" s="30">
        <f t="shared" si="39"/>
        <v>30</v>
      </c>
      <c r="S842" s="30">
        <v>35</v>
      </c>
    </row>
    <row r="843" spans="1:19" ht="8.5500000000000007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40"/>
      <c r="R843" s="40"/>
      <c r="S843" s="40"/>
    </row>
    <row r="844" spans="1:19" ht="9" customHeight="1" x14ac:dyDescent="0.25">
      <c r="A844" s="7"/>
      <c r="B844" s="16" t="s">
        <v>467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41"/>
      <c r="R844" s="41"/>
      <c r="S844" s="41"/>
    </row>
    <row r="845" spans="1:19" ht="9" customHeight="1" x14ac:dyDescent="0.25">
      <c r="A845" s="8">
        <v>450554</v>
      </c>
      <c r="B845" s="9" t="s">
        <v>413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1">
        <v>310</v>
      </c>
      <c r="R845" s="31">
        <f t="shared" ref="R845:R868" si="40">((S845-Q845)/2)+Q845</f>
        <v>367.5</v>
      </c>
      <c r="S845" s="31">
        <v>425</v>
      </c>
    </row>
    <row r="846" spans="1:19" ht="9" customHeight="1" x14ac:dyDescent="0.25">
      <c r="A846" s="5">
        <v>450555</v>
      </c>
      <c r="B846" s="6" t="s">
        <v>414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30">
        <v>935</v>
      </c>
      <c r="R846" s="30">
        <f t="shared" si="40"/>
        <v>1110</v>
      </c>
      <c r="S846" s="30">
        <v>1285</v>
      </c>
    </row>
    <row r="847" spans="1:19" ht="9" customHeight="1" x14ac:dyDescent="0.25">
      <c r="A847" s="8">
        <v>450622</v>
      </c>
      <c r="B847" s="9" t="s">
        <v>415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1">
        <v>950</v>
      </c>
      <c r="R847" s="31">
        <f t="shared" si="40"/>
        <v>1100</v>
      </c>
      <c r="S847" s="31">
        <v>1250</v>
      </c>
    </row>
    <row r="848" spans="1:19" ht="9" customHeight="1" x14ac:dyDescent="0.25">
      <c r="A848" s="14">
        <v>450507</v>
      </c>
      <c r="B848" s="6" t="s">
        <v>358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30">
        <v>480</v>
      </c>
      <c r="R848" s="30">
        <f t="shared" si="40"/>
        <v>557.5</v>
      </c>
      <c r="S848" s="30">
        <v>635</v>
      </c>
    </row>
    <row r="849" spans="1:19" ht="9" customHeight="1" x14ac:dyDescent="0.25">
      <c r="A849" s="15">
        <v>450637</v>
      </c>
      <c r="B849" s="9" t="s">
        <v>416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1">
        <v>2000</v>
      </c>
      <c r="R849" s="31">
        <f t="shared" si="40"/>
        <v>2377.5</v>
      </c>
      <c r="S849" s="31">
        <v>2755</v>
      </c>
    </row>
    <row r="850" spans="1:19" ht="9" customHeight="1" x14ac:dyDescent="0.25">
      <c r="A850" s="14">
        <v>450659</v>
      </c>
      <c r="B850" s="6" t="s">
        <v>417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30">
        <v>405</v>
      </c>
      <c r="R850" s="30">
        <f t="shared" si="40"/>
        <v>482.5</v>
      </c>
      <c r="S850" s="30">
        <v>560</v>
      </c>
    </row>
    <row r="851" spans="1:19" ht="9" customHeight="1" x14ac:dyDescent="0.25">
      <c r="A851" s="15">
        <v>450660</v>
      </c>
      <c r="B851" s="9" t="s">
        <v>418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1">
        <v>420</v>
      </c>
      <c r="R851" s="31">
        <f t="shared" si="40"/>
        <v>497.5</v>
      </c>
      <c r="S851" s="31">
        <v>575</v>
      </c>
    </row>
    <row r="852" spans="1:19" ht="9" customHeight="1" x14ac:dyDescent="0.25">
      <c r="A852" s="5">
        <v>450612</v>
      </c>
      <c r="B852" s="6" t="s">
        <v>101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30">
        <v>50</v>
      </c>
      <c r="R852" s="30">
        <f t="shared" si="40"/>
        <v>60</v>
      </c>
      <c r="S852" s="30">
        <v>70</v>
      </c>
    </row>
    <row r="853" spans="1:19" ht="9" customHeight="1" x14ac:dyDescent="0.25">
      <c r="A853" s="15">
        <v>450644</v>
      </c>
      <c r="B853" s="9" t="s">
        <v>419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1">
        <v>85</v>
      </c>
      <c r="R853" s="31">
        <f t="shared" si="40"/>
        <v>97.5</v>
      </c>
      <c r="S853" s="31">
        <v>110</v>
      </c>
    </row>
    <row r="854" spans="1:19" ht="9" customHeight="1" x14ac:dyDescent="0.25">
      <c r="A854" s="14">
        <v>450663</v>
      </c>
      <c r="B854" s="6" t="s">
        <v>105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30">
        <v>125</v>
      </c>
      <c r="R854" s="30">
        <f t="shared" si="40"/>
        <v>147.5</v>
      </c>
      <c r="S854" s="30">
        <v>170</v>
      </c>
    </row>
    <row r="855" spans="1:19" ht="9" customHeight="1" x14ac:dyDescent="0.25">
      <c r="A855" s="15">
        <v>452015</v>
      </c>
      <c r="B855" s="9" t="s">
        <v>420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1">
        <v>245</v>
      </c>
      <c r="R855" s="31">
        <f t="shared" si="40"/>
        <v>275</v>
      </c>
      <c r="S855" s="31">
        <v>305</v>
      </c>
    </row>
    <row r="856" spans="1:19" ht="9" customHeight="1" x14ac:dyDescent="0.25">
      <c r="A856" s="14">
        <v>450664</v>
      </c>
      <c r="B856" s="6" t="s">
        <v>421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30">
        <v>30</v>
      </c>
      <c r="R856" s="30">
        <f t="shared" si="40"/>
        <v>32.5</v>
      </c>
      <c r="S856" s="30">
        <v>35</v>
      </c>
    </row>
    <row r="857" spans="1:19" ht="9" customHeight="1" x14ac:dyDescent="0.25">
      <c r="A857" s="15">
        <v>450669</v>
      </c>
      <c r="B857" s="9" t="s">
        <v>422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1">
        <v>515</v>
      </c>
      <c r="R857" s="31">
        <f t="shared" si="40"/>
        <v>600</v>
      </c>
      <c r="S857" s="31">
        <v>685</v>
      </c>
    </row>
    <row r="858" spans="1:19" ht="9" customHeight="1" x14ac:dyDescent="0.25">
      <c r="A858" s="14">
        <v>450708</v>
      </c>
      <c r="B858" s="6" t="s">
        <v>423</v>
      </c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30">
        <v>660</v>
      </c>
      <c r="R858" s="30">
        <f t="shared" si="40"/>
        <v>775</v>
      </c>
      <c r="S858" s="30">
        <v>890</v>
      </c>
    </row>
    <row r="859" spans="1:19" ht="9" customHeight="1" x14ac:dyDescent="0.25">
      <c r="A859" s="8">
        <v>450321</v>
      </c>
      <c r="B859" s="9" t="s">
        <v>235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1">
        <v>695</v>
      </c>
      <c r="R859" s="31">
        <f t="shared" si="40"/>
        <v>822.5</v>
      </c>
      <c r="S859" s="31">
        <v>950</v>
      </c>
    </row>
    <row r="860" spans="1:19" ht="9" customHeight="1" x14ac:dyDescent="0.25">
      <c r="A860" s="14">
        <v>450718</v>
      </c>
      <c r="B860" s="6" t="s">
        <v>424</v>
      </c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30">
        <v>270</v>
      </c>
      <c r="R860" s="30">
        <f t="shared" si="40"/>
        <v>345</v>
      </c>
      <c r="S860" s="30">
        <v>420</v>
      </c>
    </row>
    <row r="861" spans="1:19" ht="9" customHeight="1" x14ac:dyDescent="0.25">
      <c r="A861" s="15">
        <v>450183</v>
      </c>
      <c r="B861" s="9" t="s">
        <v>179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1">
        <v>25</v>
      </c>
      <c r="R861" s="31">
        <f t="shared" si="40"/>
        <v>27.5</v>
      </c>
      <c r="S861" s="31">
        <v>30</v>
      </c>
    </row>
    <row r="862" spans="1:19" ht="9" customHeight="1" x14ac:dyDescent="0.25">
      <c r="A862" s="14">
        <v>450730</v>
      </c>
      <c r="B862" s="6" t="s">
        <v>425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30">
        <v>975</v>
      </c>
      <c r="R862" s="30">
        <f t="shared" si="40"/>
        <v>1237.5</v>
      </c>
      <c r="S862" s="30">
        <v>1500</v>
      </c>
    </row>
    <row r="863" spans="1:19" ht="9" customHeight="1" x14ac:dyDescent="0.25">
      <c r="A863" s="64" t="s">
        <v>468</v>
      </c>
      <c r="B863" s="65"/>
      <c r="C863" s="3"/>
      <c r="D863" s="12" t="s">
        <v>8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1">
        <v>600</v>
      </c>
      <c r="R863" s="31">
        <f t="shared" si="40"/>
        <v>760</v>
      </c>
      <c r="S863" s="31">
        <v>920</v>
      </c>
    </row>
    <row r="864" spans="1:19" ht="9" customHeight="1" x14ac:dyDescent="0.25">
      <c r="A864" s="5">
        <v>450732</v>
      </c>
      <c r="B864" s="6" t="s">
        <v>112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30">
        <v>330</v>
      </c>
      <c r="R864" s="30">
        <f t="shared" si="40"/>
        <v>417.5</v>
      </c>
      <c r="S864" s="30">
        <v>505</v>
      </c>
    </row>
    <row r="865" spans="1:19" ht="9" customHeight="1" x14ac:dyDescent="0.25">
      <c r="A865" s="15">
        <v>450752</v>
      </c>
      <c r="B865" s="9" t="s">
        <v>429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1">
        <v>235</v>
      </c>
      <c r="R865" s="31">
        <f t="shared" si="40"/>
        <v>300</v>
      </c>
      <c r="S865" s="31">
        <v>365</v>
      </c>
    </row>
    <row r="866" spans="1:19" ht="9" customHeight="1" x14ac:dyDescent="0.25">
      <c r="A866" s="14">
        <v>450753</v>
      </c>
      <c r="B866" s="6" t="s">
        <v>430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30">
        <v>170</v>
      </c>
      <c r="R866" s="30">
        <f t="shared" si="40"/>
        <v>217.5</v>
      </c>
      <c r="S866" s="30">
        <v>265</v>
      </c>
    </row>
    <row r="867" spans="1:19" ht="9" customHeight="1" x14ac:dyDescent="0.25">
      <c r="A867" s="15">
        <v>450754</v>
      </c>
      <c r="B867" s="9" t="s">
        <v>431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1">
        <v>195</v>
      </c>
      <c r="R867" s="31">
        <f t="shared" si="40"/>
        <v>250</v>
      </c>
      <c r="S867" s="31">
        <v>305</v>
      </c>
    </row>
    <row r="868" spans="1:19" ht="9" customHeight="1" x14ac:dyDescent="0.25">
      <c r="A868" s="5">
        <v>450725</v>
      </c>
      <c r="B868" s="6" t="s">
        <v>432</v>
      </c>
      <c r="C868" s="7"/>
      <c r="D868" s="13" t="s">
        <v>8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30">
        <v>155</v>
      </c>
      <c r="R868" s="30">
        <f t="shared" si="40"/>
        <v>200</v>
      </c>
      <c r="S868" s="30">
        <v>245</v>
      </c>
    </row>
    <row r="869" spans="1:19" ht="8.5500000000000007" customHeight="1" x14ac:dyDescent="0.25">
      <c r="A869" s="54"/>
      <c r="B869" s="5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40"/>
      <c r="R869" s="46"/>
      <c r="S869" s="48"/>
    </row>
    <row r="870" spans="1:19" ht="9" customHeight="1" x14ac:dyDescent="0.25">
      <c r="A870" s="23"/>
      <c r="B870" s="16" t="s">
        <v>469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41"/>
      <c r="R870" s="47"/>
      <c r="S870" s="49"/>
    </row>
    <row r="871" spans="1:19" ht="9" customHeight="1" x14ac:dyDescent="0.25">
      <c r="A871" s="15">
        <v>450329</v>
      </c>
      <c r="B871" s="34" t="s">
        <v>474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1">
        <v>185</v>
      </c>
      <c r="R871" s="31">
        <f t="shared" ref="R871:R876" si="41">((S871-Q871)/2)+Q871</f>
        <v>217.5</v>
      </c>
      <c r="S871" s="31">
        <v>250</v>
      </c>
    </row>
    <row r="872" spans="1:19" ht="9" customHeight="1" x14ac:dyDescent="0.25">
      <c r="A872" s="14">
        <v>450336</v>
      </c>
      <c r="B872" s="35" t="s">
        <v>481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30">
        <v>2425</v>
      </c>
      <c r="R872" s="30">
        <f t="shared" si="41"/>
        <v>2877.5</v>
      </c>
      <c r="S872" s="30">
        <v>3330</v>
      </c>
    </row>
    <row r="873" spans="1:19" ht="9" customHeight="1" x14ac:dyDescent="0.25">
      <c r="A873" s="15">
        <v>450337</v>
      </c>
      <c r="B873" s="34" t="s">
        <v>482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1">
        <v>2425</v>
      </c>
      <c r="R873" s="31">
        <f t="shared" si="41"/>
        <v>2877.5</v>
      </c>
      <c r="S873" s="31">
        <v>3330</v>
      </c>
    </row>
    <row r="874" spans="1:19" ht="9" customHeight="1" x14ac:dyDescent="0.25">
      <c r="A874" s="14">
        <v>450338</v>
      </c>
      <c r="B874" s="35" t="s">
        <v>483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30">
        <v>2425</v>
      </c>
      <c r="R874" s="30">
        <f t="shared" si="41"/>
        <v>2877.5</v>
      </c>
      <c r="S874" s="30">
        <v>3330</v>
      </c>
    </row>
    <row r="875" spans="1:19" ht="9" customHeight="1" x14ac:dyDescent="0.25">
      <c r="A875" s="15">
        <v>450339</v>
      </c>
      <c r="B875" s="34" t="s">
        <v>484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1">
        <v>2425</v>
      </c>
      <c r="R875" s="31">
        <f t="shared" si="41"/>
        <v>2877.5</v>
      </c>
      <c r="S875" s="31">
        <v>3330</v>
      </c>
    </row>
    <row r="876" spans="1:19" ht="9" customHeight="1" x14ac:dyDescent="0.25">
      <c r="A876" s="14">
        <v>450340</v>
      </c>
      <c r="B876" s="35" t="s">
        <v>485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30">
        <v>2425</v>
      </c>
      <c r="R876" s="30">
        <f t="shared" si="41"/>
        <v>2877.5</v>
      </c>
      <c r="S876" s="30">
        <v>3330</v>
      </c>
    </row>
    <row r="877" spans="1:19" ht="8.5500000000000007" customHeight="1" x14ac:dyDescent="0.25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40"/>
      <c r="R877" s="46"/>
      <c r="S877" s="48"/>
    </row>
    <row r="878" spans="1:19" ht="9" customHeight="1" x14ac:dyDescent="0.25">
      <c r="A878" s="23"/>
      <c r="B878" s="16" t="s">
        <v>470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41"/>
      <c r="R878" s="47"/>
      <c r="S878" s="49"/>
    </row>
    <row r="879" spans="1:19" ht="9" customHeight="1" x14ac:dyDescent="0.25">
      <c r="A879" s="15">
        <v>450628</v>
      </c>
      <c r="B879" s="9" t="s">
        <v>453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1">
        <v>1625</v>
      </c>
      <c r="R879" s="31">
        <f t="shared" ref="R879:R880" si="42">((S879-Q879)/2)+Q879</f>
        <v>1907.5</v>
      </c>
      <c r="S879" s="31">
        <v>2190</v>
      </c>
    </row>
    <row r="880" spans="1:19" ht="9" customHeight="1" x14ac:dyDescent="0.25">
      <c r="A880" s="14">
        <v>450630</v>
      </c>
      <c r="B880" s="6" t="s">
        <v>435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30">
        <v>940</v>
      </c>
      <c r="R880" s="30">
        <f t="shared" si="42"/>
        <v>1195</v>
      </c>
      <c r="S880" s="30">
        <v>1450</v>
      </c>
    </row>
    <row r="881" spans="1:20" ht="9" customHeight="1" x14ac:dyDescent="0.25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40"/>
      <c r="R881" s="46"/>
      <c r="S881" s="48"/>
    </row>
    <row r="882" spans="1:20" ht="9" customHeight="1" x14ac:dyDescent="0.25">
      <c r="A882" s="23"/>
      <c r="B882" s="16" t="s">
        <v>471</v>
      </c>
      <c r="C882" s="16" t="s">
        <v>121</v>
      </c>
      <c r="D882" s="18">
        <v>2</v>
      </c>
      <c r="E882" s="25">
        <v>3</v>
      </c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41"/>
      <c r="R882" s="47"/>
      <c r="S882" s="49"/>
    </row>
    <row r="883" spans="1:20" ht="9" customHeight="1" x14ac:dyDescent="0.25">
      <c r="A883" s="15">
        <v>450706</v>
      </c>
      <c r="B883" s="9" t="s">
        <v>472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1">
        <v>505</v>
      </c>
      <c r="R883" s="31">
        <f t="shared" ref="R883:R884" si="43">((S883-Q883)/2)+Q883</f>
        <v>592.5</v>
      </c>
      <c r="S883" s="31">
        <v>680</v>
      </c>
    </row>
    <row r="884" spans="1:20" ht="14.4" customHeight="1" x14ac:dyDescent="0.25">
      <c r="A884" s="26">
        <v>450292</v>
      </c>
      <c r="B884" s="27" t="s">
        <v>473</v>
      </c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44">
        <v>50</v>
      </c>
      <c r="R884" s="44">
        <f t="shared" si="43"/>
        <v>57.5</v>
      </c>
      <c r="S884" s="44">
        <v>65</v>
      </c>
    </row>
    <row r="885" spans="1:20" ht="18" customHeight="1" x14ac:dyDescent="0.2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</row>
    <row r="886" spans="1:20" ht="9" customHeight="1" x14ac:dyDescent="0.25">
      <c r="A886" s="29"/>
    </row>
    <row r="887" spans="1:20" ht="9" customHeight="1" x14ac:dyDescent="0.25">
      <c r="A887" s="57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</row>
  </sheetData>
  <mergeCells count="8">
    <mergeCell ref="A869:B869"/>
    <mergeCell ref="A885:T885"/>
    <mergeCell ref="A887:T887"/>
    <mergeCell ref="A1:T1"/>
    <mergeCell ref="O173:P173"/>
    <mergeCell ref="O174:P174"/>
    <mergeCell ref="O335:P335"/>
    <mergeCell ref="A863:B863"/>
  </mergeCells>
  <pageMargins left="0.25" right="0.25" top="0.75" bottom="0.75" header="0.3" footer="0.3"/>
  <pageSetup paperSize="9" orientation="landscape" r:id="rId1"/>
  <headerFooter>
    <oddFooter>&amp;C&amp;"-,Normale"&amp;9Pagina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MiR Spare part price list in EUR valid from 1. February 2025 until 31. December 2025.xlsx</dc:title>
  <dc:creator>Alessandro Delucchi</dc:creator>
  <cp:lastModifiedBy>Filippo Mariuzzo</cp:lastModifiedBy>
  <cp:lastPrinted>2025-04-01T14:23:42Z</cp:lastPrinted>
  <dcterms:created xsi:type="dcterms:W3CDTF">2025-03-31T09:41:38Z</dcterms:created>
  <dcterms:modified xsi:type="dcterms:W3CDTF">2025-04-01T14:26:08Z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2025-03-31T00:00:00Z</vt:filetime>
  </property>
  <property fmtid="{D5CDD505-2E9C-101B-9397-08002B2CF9AE}" pid="4" name="Producer">
    <vt:lpwstr>Microsoft: Print To PDF</vt:lpwstr>
  </property>
</Properties>
</file>